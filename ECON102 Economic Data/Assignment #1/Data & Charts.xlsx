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Documents\Third Year 2022-2023\Winter 2023\ECON 102\Assignment 1\"/>
    </mc:Choice>
  </mc:AlternateContent>
  <xr:revisionPtr revIDLastSave="0" documentId="13_ncr:1_{9311A3DE-D4EF-417C-A1CF-FE614E8706EC}" xr6:coauthVersionLast="47" xr6:coauthVersionMax="47" xr10:uidLastSave="{00000000-0000-0000-0000-000000000000}"/>
  <bookViews>
    <workbookView xWindow="28680" yWindow="-120" windowWidth="29040" windowHeight="15720" xr2:uid="{C4127E16-4BFE-4EFE-904C-5B6E12A9734F}"/>
  </bookViews>
  <sheets>
    <sheet name="Data150" sheetId="1" r:id="rId1"/>
    <sheet name="Charts" sheetId="2" r:id="rId2"/>
    <sheet name="Data45" sheetId="4" r:id="rId3"/>
  </sheets>
  <definedNames>
    <definedName name="dat150_" localSheetId="0" hidden="1">Data150!$A$1:$F$285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150" name="dat150" connection="dat15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4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L282" i="1" l="1"/>
  <c r="L266" i="1"/>
  <c r="L250" i="1"/>
  <c r="L234" i="1"/>
  <c r="L218" i="1"/>
  <c r="L202" i="1"/>
  <c r="L186" i="1"/>
  <c r="L170" i="1"/>
  <c r="L154" i="1"/>
  <c r="L138" i="1"/>
  <c r="L122" i="1"/>
  <c r="L106" i="1"/>
  <c r="L90" i="1"/>
  <c r="L74" i="1"/>
  <c r="L58" i="1"/>
  <c r="L42" i="1"/>
  <c r="L26" i="1"/>
  <c r="L10" i="1"/>
  <c r="L281" i="1"/>
  <c r="L265" i="1"/>
  <c r="L249" i="1"/>
  <c r="L233" i="1"/>
  <c r="L217" i="1"/>
  <c r="L201" i="1"/>
  <c r="L185" i="1"/>
  <c r="L169" i="1"/>
  <c r="L153" i="1"/>
  <c r="L137" i="1"/>
  <c r="L121" i="1"/>
  <c r="L105" i="1"/>
  <c r="L89" i="1"/>
  <c r="L73" i="1"/>
  <c r="L57" i="1"/>
  <c r="L41" i="1"/>
  <c r="L25" i="1"/>
  <c r="L9" i="1"/>
  <c r="L264" i="1"/>
  <c r="L248" i="1"/>
  <c r="L232" i="1"/>
  <c r="L216" i="1"/>
  <c r="L200" i="1"/>
  <c r="L184" i="1"/>
  <c r="L168" i="1"/>
  <c r="L152" i="1"/>
  <c r="L136" i="1"/>
  <c r="L120" i="1"/>
  <c r="L104" i="1"/>
  <c r="L88" i="1"/>
  <c r="L72" i="1"/>
  <c r="L56" i="1"/>
  <c r="L40" i="1"/>
  <c r="L24" i="1"/>
  <c r="L8" i="1"/>
  <c r="L280" i="1"/>
  <c r="L279" i="1"/>
  <c r="L263" i="1"/>
  <c r="L247" i="1"/>
  <c r="L231" i="1"/>
  <c r="L215" i="1"/>
  <c r="L199" i="1"/>
  <c r="L183" i="1"/>
  <c r="L167" i="1"/>
  <c r="L151" i="1"/>
  <c r="L135" i="1"/>
  <c r="L119" i="1"/>
  <c r="L103" i="1"/>
  <c r="L87" i="1"/>
  <c r="L71" i="1"/>
  <c r="L55" i="1"/>
  <c r="L39" i="1"/>
  <c r="L23" i="1"/>
  <c r="L7" i="1"/>
  <c r="L278" i="1"/>
  <c r="L262" i="1"/>
  <c r="L246" i="1"/>
  <c r="L230" i="1"/>
  <c r="L214" i="1"/>
  <c r="L198" i="1"/>
  <c r="L182" i="1"/>
  <c r="L166" i="1"/>
  <c r="L150" i="1"/>
  <c r="L134" i="1"/>
  <c r="L118" i="1"/>
  <c r="L102" i="1"/>
  <c r="L86" i="1"/>
  <c r="L70" i="1"/>
  <c r="L54" i="1"/>
  <c r="L38" i="1"/>
  <c r="L22" i="1"/>
  <c r="L6" i="1"/>
  <c r="E277" i="1"/>
  <c r="M277" i="1" s="1"/>
  <c r="L277" i="1"/>
  <c r="E261" i="1"/>
  <c r="M261" i="1" s="1"/>
  <c r="L261" i="1"/>
  <c r="E245" i="1"/>
  <c r="M245" i="1" s="1"/>
  <c r="L245" i="1"/>
  <c r="E229" i="1"/>
  <c r="M229" i="1" s="1"/>
  <c r="L229" i="1"/>
  <c r="E213" i="1"/>
  <c r="K213" i="1" s="1"/>
  <c r="L213" i="1"/>
  <c r="E197" i="1"/>
  <c r="M197" i="1" s="1"/>
  <c r="L197" i="1"/>
  <c r="E181" i="1"/>
  <c r="M181" i="1" s="1"/>
  <c r="L181" i="1"/>
  <c r="E165" i="1"/>
  <c r="M165" i="1" s="1"/>
  <c r="L165" i="1"/>
  <c r="E149" i="1"/>
  <c r="M149" i="1" s="1"/>
  <c r="L149" i="1"/>
  <c r="E133" i="1"/>
  <c r="M133" i="1" s="1"/>
  <c r="L133" i="1"/>
  <c r="E117" i="1"/>
  <c r="K117" i="1" s="1"/>
  <c r="L117" i="1"/>
  <c r="E101" i="1"/>
  <c r="M101" i="1" s="1"/>
  <c r="L101" i="1"/>
  <c r="E85" i="1"/>
  <c r="M85" i="1" s="1"/>
  <c r="L85" i="1"/>
  <c r="E69" i="1"/>
  <c r="M69" i="1" s="1"/>
  <c r="L69" i="1"/>
  <c r="E53" i="1"/>
  <c r="M53" i="1" s="1"/>
  <c r="L53" i="1"/>
  <c r="E37" i="1"/>
  <c r="M37" i="1" s="1"/>
  <c r="L37" i="1"/>
  <c r="E21" i="1"/>
  <c r="M21" i="1" s="1"/>
  <c r="L21" i="1"/>
  <c r="E5" i="1"/>
  <c r="M5" i="1" s="1"/>
  <c r="L5" i="1"/>
  <c r="E276" i="1"/>
  <c r="M276" i="1" s="1"/>
  <c r="L276" i="1"/>
  <c r="E260" i="1"/>
  <c r="M260" i="1" s="1"/>
  <c r="L260" i="1"/>
  <c r="E244" i="1"/>
  <c r="M244" i="1" s="1"/>
  <c r="L244" i="1"/>
  <c r="E228" i="1"/>
  <c r="M228" i="1" s="1"/>
  <c r="L228" i="1"/>
  <c r="E212" i="1"/>
  <c r="M212" i="1" s="1"/>
  <c r="L212" i="1"/>
  <c r="E196" i="1"/>
  <c r="M196" i="1" s="1"/>
  <c r="L196" i="1"/>
  <c r="E180" i="1"/>
  <c r="M180" i="1" s="1"/>
  <c r="L180" i="1"/>
  <c r="E164" i="1"/>
  <c r="M164" i="1" s="1"/>
  <c r="L164" i="1"/>
  <c r="E148" i="1"/>
  <c r="M148" i="1" s="1"/>
  <c r="L148" i="1"/>
  <c r="E132" i="1"/>
  <c r="M132" i="1" s="1"/>
  <c r="L132" i="1"/>
  <c r="E116" i="1"/>
  <c r="M116" i="1" s="1"/>
  <c r="L116" i="1"/>
  <c r="E100" i="1"/>
  <c r="M100" i="1" s="1"/>
  <c r="L100" i="1"/>
  <c r="E84" i="1"/>
  <c r="K84" i="1" s="1"/>
  <c r="L84" i="1"/>
  <c r="E68" i="1"/>
  <c r="M68" i="1" s="1"/>
  <c r="L68" i="1"/>
  <c r="E52" i="1"/>
  <c r="M52" i="1" s="1"/>
  <c r="L52" i="1"/>
  <c r="E36" i="1"/>
  <c r="M36" i="1" s="1"/>
  <c r="L36" i="1"/>
  <c r="E20" i="1"/>
  <c r="M20" i="1" s="1"/>
  <c r="L20" i="1"/>
  <c r="E4" i="1"/>
  <c r="K4" i="1" s="1"/>
  <c r="L4" i="1"/>
  <c r="E275" i="1"/>
  <c r="M275" i="1" s="1"/>
  <c r="L275" i="1"/>
  <c r="E259" i="1"/>
  <c r="M259" i="1" s="1"/>
  <c r="L259" i="1"/>
  <c r="E243" i="1"/>
  <c r="M243" i="1" s="1"/>
  <c r="L243" i="1"/>
  <c r="E227" i="1"/>
  <c r="M227" i="1" s="1"/>
  <c r="L227" i="1"/>
  <c r="E211" i="1"/>
  <c r="M211" i="1" s="1"/>
  <c r="L211" i="1"/>
  <c r="E195" i="1"/>
  <c r="M195" i="1" s="1"/>
  <c r="L195" i="1"/>
  <c r="E179" i="1"/>
  <c r="M179" i="1" s="1"/>
  <c r="L179" i="1"/>
  <c r="E163" i="1"/>
  <c r="M163" i="1" s="1"/>
  <c r="L163" i="1"/>
  <c r="E147" i="1"/>
  <c r="M147" i="1" s="1"/>
  <c r="L147" i="1"/>
  <c r="E131" i="1"/>
  <c r="M131" i="1" s="1"/>
  <c r="L131" i="1"/>
  <c r="E115" i="1"/>
  <c r="M115" i="1" s="1"/>
  <c r="L115" i="1"/>
  <c r="E99" i="1"/>
  <c r="M99" i="1" s="1"/>
  <c r="L99" i="1"/>
  <c r="E83" i="1"/>
  <c r="M83" i="1" s="1"/>
  <c r="L83" i="1"/>
  <c r="E67" i="1"/>
  <c r="M67" i="1" s="1"/>
  <c r="L67" i="1"/>
  <c r="E51" i="1"/>
  <c r="M51" i="1" s="1"/>
  <c r="L51" i="1"/>
  <c r="E35" i="1"/>
  <c r="M35" i="1" s="1"/>
  <c r="L35" i="1"/>
  <c r="E19" i="1"/>
  <c r="K19" i="1" s="1"/>
  <c r="L19" i="1"/>
  <c r="E3" i="1"/>
  <c r="M3" i="1" s="1"/>
  <c r="N3" i="1" s="1"/>
  <c r="L3" i="1"/>
  <c r="L274" i="1"/>
  <c r="E258" i="1"/>
  <c r="M258" i="1" s="1"/>
  <c r="L258" i="1"/>
  <c r="E242" i="1"/>
  <c r="M242" i="1" s="1"/>
  <c r="L242" i="1"/>
  <c r="E226" i="1"/>
  <c r="K226" i="1" s="1"/>
  <c r="L226" i="1"/>
  <c r="E210" i="1"/>
  <c r="M210" i="1" s="1"/>
  <c r="L210" i="1"/>
  <c r="E194" i="1"/>
  <c r="M194" i="1" s="1"/>
  <c r="L194" i="1"/>
  <c r="E178" i="1"/>
  <c r="M178" i="1" s="1"/>
  <c r="L178" i="1"/>
  <c r="E162" i="1"/>
  <c r="M162" i="1" s="1"/>
  <c r="L162" i="1"/>
  <c r="L146" i="1"/>
  <c r="E130" i="1"/>
  <c r="M130" i="1" s="1"/>
  <c r="L130" i="1"/>
  <c r="E114" i="1"/>
  <c r="M114" i="1" s="1"/>
  <c r="L114" i="1"/>
  <c r="E98" i="1"/>
  <c r="K98" i="1" s="1"/>
  <c r="L98" i="1"/>
  <c r="E82" i="1"/>
  <c r="M82" i="1" s="1"/>
  <c r="L82" i="1"/>
  <c r="E66" i="1"/>
  <c r="M66" i="1" s="1"/>
  <c r="L66" i="1"/>
  <c r="L50" i="1"/>
  <c r="E34" i="1"/>
  <c r="M34" i="1" s="1"/>
  <c r="L34" i="1"/>
  <c r="E18" i="1"/>
  <c r="M18" i="1" s="1"/>
  <c r="L18" i="1"/>
  <c r="E2" i="1"/>
  <c r="M2" i="1" s="1"/>
  <c r="N2" i="1" s="1"/>
  <c r="L2" i="1"/>
  <c r="E273" i="1"/>
  <c r="M273" i="1" s="1"/>
  <c r="L273" i="1"/>
  <c r="E257" i="1"/>
  <c r="M257" i="1" s="1"/>
  <c r="L257" i="1"/>
  <c r="E241" i="1"/>
  <c r="M241" i="1" s="1"/>
  <c r="L241" i="1"/>
  <c r="E225" i="1"/>
  <c r="M225" i="1" s="1"/>
  <c r="L225" i="1"/>
  <c r="E209" i="1"/>
  <c r="M209" i="1" s="1"/>
  <c r="L209" i="1"/>
  <c r="L193" i="1"/>
  <c r="E177" i="1"/>
  <c r="M177" i="1" s="1"/>
  <c r="L177" i="1"/>
  <c r="E161" i="1"/>
  <c r="M161" i="1" s="1"/>
  <c r="L161" i="1"/>
  <c r="E145" i="1"/>
  <c r="M145" i="1" s="1"/>
  <c r="L145" i="1"/>
  <c r="E129" i="1"/>
  <c r="M129" i="1" s="1"/>
  <c r="L129" i="1"/>
  <c r="E113" i="1"/>
  <c r="K113" i="1" s="1"/>
  <c r="L113" i="1"/>
  <c r="L97" i="1"/>
  <c r="E81" i="1"/>
  <c r="M81" i="1" s="1"/>
  <c r="L81" i="1"/>
  <c r="E65" i="1"/>
  <c r="M65" i="1" s="1"/>
  <c r="L65" i="1"/>
  <c r="E49" i="1"/>
  <c r="M49" i="1" s="1"/>
  <c r="L49" i="1"/>
  <c r="L33" i="1"/>
  <c r="E17" i="1"/>
  <c r="M17" i="1" s="1"/>
  <c r="L17" i="1"/>
  <c r="E272" i="1"/>
  <c r="M272" i="1" s="1"/>
  <c r="L272" i="1"/>
  <c r="E256" i="1"/>
  <c r="K256" i="1" s="1"/>
  <c r="L256" i="1"/>
  <c r="E240" i="1"/>
  <c r="M240" i="1" s="1"/>
  <c r="L240" i="1"/>
  <c r="L224" i="1"/>
  <c r="E208" i="1"/>
  <c r="M208" i="1" s="1"/>
  <c r="L208" i="1"/>
  <c r="E192" i="1"/>
  <c r="M192" i="1" s="1"/>
  <c r="L192" i="1"/>
  <c r="E176" i="1"/>
  <c r="M176" i="1" s="1"/>
  <c r="L176" i="1"/>
  <c r="E160" i="1"/>
  <c r="M160" i="1" s="1"/>
  <c r="L160" i="1"/>
  <c r="L144" i="1"/>
  <c r="L128" i="1"/>
  <c r="L112" i="1"/>
  <c r="E96" i="1"/>
  <c r="M96" i="1" s="1"/>
  <c r="L96" i="1"/>
  <c r="E80" i="1"/>
  <c r="M80" i="1" s="1"/>
  <c r="L80" i="1"/>
  <c r="E64" i="1"/>
  <c r="M64" i="1" s="1"/>
  <c r="L64" i="1"/>
  <c r="L48" i="1"/>
  <c r="E32" i="1"/>
  <c r="M32" i="1" s="1"/>
  <c r="L32" i="1"/>
  <c r="E16" i="1"/>
  <c r="M16" i="1" s="1"/>
  <c r="L16" i="1"/>
  <c r="L271" i="1"/>
  <c r="L255" i="1"/>
  <c r="L239" i="1"/>
  <c r="L223" i="1"/>
  <c r="L207" i="1"/>
  <c r="L191" i="1"/>
  <c r="L175" i="1"/>
  <c r="L159" i="1"/>
  <c r="L143" i="1"/>
  <c r="L127" i="1"/>
  <c r="L111" i="1"/>
  <c r="L95" i="1"/>
  <c r="L79" i="1"/>
  <c r="L63" i="1"/>
  <c r="L47" i="1"/>
  <c r="L31" i="1"/>
  <c r="L15" i="1"/>
  <c r="L270" i="1"/>
  <c r="L254" i="1"/>
  <c r="L238" i="1"/>
  <c r="L222" i="1"/>
  <c r="L206" i="1"/>
  <c r="L190" i="1"/>
  <c r="L174" i="1"/>
  <c r="L158" i="1"/>
  <c r="L142" i="1"/>
  <c r="L126" i="1"/>
  <c r="L110" i="1"/>
  <c r="L94" i="1"/>
  <c r="L78" i="1"/>
  <c r="L62" i="1"/>
  <c r="L46" i="1"/>
  <c r="L30" i="1"/>
  <c r="L14" i="1"/>
  <c r="L285" i="1"/>
  <c r="L269" i="1"/>
  <c r="L253" i="1"/>
  <c r="L237" i="1"/>
  <c r="L221" i="1"/>
  <c r="L205" i="1"/>
  <c r="L189" i="1"/>
  <c r="L173" i="1"/>
  <c r="L157" i="1"/>
  <c r="L141" i="1"/>
  <c r="L125" i="1"/>
  <c r="L109" i="1"/>
  <c r="L93" i="1"/>
  <c r="L77" i="1"/>
  <c r="L61" i="1"/>
  <c r="L45" i="1"/>
  <c r="L29" i="1"/>
  <c r="L13" i="1"/>
  <c r="L284" i="1"/>
  <c r="L268" i="1"/>
  <c r="L252" i="1"/>
  <c r="L236" i="1"/>
  <c r="L220" i="1"/>
  <c r="L204" i="1"/>
  <c r="L188" i="1"/>
  <c r="L172" i="1"/>
  <c r="L156" i="1"/>
  <c r="L140" i="1"/>
  <c r="L124" i="1"/>
  <c r="L108" i="1"/>
  <c r="L92" i="1"/>
  <c r="L76" i="1"/>
  <c r="L60" i="1"/>
  <c r="L44" i="1"/>
  <c r="L28" i="1"/>
  <c r="L12" i="1"/>
  <c r="L283" i="1"/>
  <c r="L267" i="1"/>
  <c r="L251" i="1"/>
  <c r="L235" i="1"/>
  <c r="L219" i="1"/>
  <c r="L203" i="1"/>
  <c r="L187" i="1"/>
  <c r="L171" i="1"/>
  <c r="L155" i="1"/>
  <c r="L139" i="1"/>
  <c r="L123" i="1"/>
  <c r="L107" i="1"/>
  <c r="L91" i="1"/>
  <c r="L75" i="1"/>
  <c r="L59" i="1"/>
  <c r="L43" i="1"/>
  <c r="L27" i="1"/>
  <c r="L11" i="1"/>
  <c r="J274" i="1"/>
  <c r="J50" i="1"/>
  <c r="J193" i="1"/>
  <c r="J112" i="1"/>
  <c r="J146" i="1"/>
  <c r="J97" i="1"/>
  <c r="J144" i="1"/>
  <c r="J271" i="1"/>
  <c r="J255" i="1"/>
  <c r="J239" i="1"/>
  <c r="J223" i="1"/>
  <c r="J207" i="1"/>
  <c r="J191" i="1"/>
  <c r="J175" i="1"/>
  <c r="J159" i="1"/>
  <c r="J143" i="1"/>
  <c r="J127" i="1"/>
  <c r="J111" i="1"/>
  <c r="J95" i="1"/>
  <c r="J79" i="1"/>
  <c r="J63" i="1"/>
  <c r="J47" i="1"/>
  <c r="J31" i="1"/>
  <c r="J15" i="1"/>
  <c r="E274" i="1"/>
  <c r="K274" i="1" s="1"/>
  <c r="E146" i="1"/>
  <c r="K146" i="1" s="1"/>
  <c r="E50" i="1"/>
  <c r="K50" i="1" s="1"/>
  <c r="K114" i="1"/>
  <c r="J114" i="1"/>
  <c r="J33" i="1"/>
  <c r="J48" i="1"/>
  <c r="J270" i="1"/>
  <c r="J254" i="1"/>
  <c r="J238" i="1"/>
  <c r="J222" i="1"/>
  <c r="J206" i="1"/>
  <c r="J190" i="1"/>
  <c r="J174" i="1"/>
  <c r="J158" i="1"/>
  <c r="J142" i="1"/>
  <c r="J126" i="1"/>
  <c r="J110" i="1"/>
  <c r="J94" i="1"/>
  <c r="J78" i="1"/>
  <c r="J62" i="1"/>
  <c r="J46" i="1"/>
  <c r="J30" i="1"/>
  <c r="J14" i="1"/>
  <c r="E193" i="1"/>
  <c r="K193" i="1" s="1"/>
  <c r="E97" i="1"/>
  <c r="K97" i="1" s="1"/>
  <c r="E33" i="1"/>
  <c r="K33" i="1" s="1"/>
  <c r="J226" i="1"/>
  <c r="J98" i="1"/>
  <c r="J209" i="1"/>
  <c r="J81" i="1"/>
  <c r="J224" i="1"/>
  <c r="J128" i="1"/>
  <c r="J285" i="1"/>
  <c r="J269" i="1"/>
  <c r="J253" i="1"/>
  <c r="J237" i="1"/>
  <c r="J221" i="1"/>
  <c r="J205" i="1"/>
  <c r="J189" i="1"/>
  <c r="J173" i="1"/>
  <c r="J157" i="1"/>
  <c r="J141" i="1"/>
  <c r="J125" i="1"/>
  <c r="J109" i="1"/>
  <c r="J93" i="1"/>
  <c r="J77" i="1"/>
  <c r="J61" i="1"/>
  <c r="J45" i="1"/>
  <c r="J29" i="1"/>
  <c r="J13" i="1"/>
  <c r="E224" i="1"/>
  <c r="K224" i="1" s="1"/>
  <c r="E144" i="1"/>
  <c r="K144" i="1" s="1"/>
  <c r="E128" i="1"/>
  <c r="K128" i="1" s="1"/>
  <c r="E112" i="1"/>
  <c r="K112" i="1" s="1"/>
  <c r="E48" i="1"/>
  <c r="K48" i="1" s="1"/>
  <c r="J162" i="1"/>
  <c r="J273" i="1"/>
  <c r="J113" i="1"/>
  <c r="J256" i="1"/>
  <c r="J80" i="1"/>
  <c r="J284" i="1"/>
  <c r="J268" i="1"/>
  <c r="J252" i="1"/>
  <c r="J236" i="1"/>
  <c r="J220" i="1"/>
  <c r="J204" i="1"/>
  <c r="J188" i="1"/>
  <c r="J172" i="1"/>
  <c r="J156" i="1"/>
  <c r="J140" i="1"/>
  <c r="J124" i="1"/>
  <c r="J108" i="1"/>
  <c r="J92" i="1"/>
  <c r="J76" i="1"/>
  <c r="J60" i="1"/>
  <c r="J44" i="1"/>
  <c r="J28" i="1"/>
  <c r="J12" i="1"/>
  <c r="E271" i="1"/>
  <c r="K271" i="1" s="1"/>
  <c r="E255" i="1"/>
  <c r="K255" i="1" s="1"/>
  <c r="E239" i="1"/>
  <c r="K239" i="1" s="1"/>
  <c r="E223" i="1"/>
  <c r="K223" i="1" s="1"/>
  <c r="E207" i="1"/>
  <c r="K207" i="1" s="1"/>
  <c r="E191" i="1"/>
  <c r="K191" i="1" s="1"/>
  <c r="E175" i="1"/>
  <c r="K175" i="1" s="1"/>
  <c r="E159" i="1"/>
  <c r="K159" i="1" s="1"/>
  <c r="E143" i="1"/>
  <c r="K143" i="1" s="1"/>
  <c r="E127" i="1"/>
  <c r="K127" i="1" s="1"/>
  <c r="E111" i="1"/>
  <c r="K111" i="1" s="1"/>
  <c r="E95" i="1"/>
  <c r="K95" i="1" s="1"/>
  <c r="E79" i="1"/>
  <c r="K79" i="1" s="1"/>
  <c r="E63" i="1"/>
  <c r="K63" i="1" s="1"/>
  <c r="E47" i="1"/>
  <c r="K47" i="1" s="1"/>
  <c r="E31" i="1"/>
  <c r="K31" i="1" s="1"/>
  <c r="E15" i="1"/>
  <c r="K15" i="1" s="1"/>
  <c r="J82" i="1"/>
  <c r="J65" i="1"/>
  <c r="J208" i="1"/>
  <c r="K16" i="1"/>
  <c r="J16" i="1"/>
  <c r="J283" i="1"/>
  <c r="J267" i="1"/>
  <c r="J251" i="1"/>
  <c r="J235" i="1"/>
  <c r="J219" i="1"/>
  <c r="J203" i="1"/>
  <c r="J187" i="1"/>
  <c r="J171" i="1"/>
  <c r="J155" i="1"/>
  <c r="J139" i="1"/>
  <c r="J123" i="1"/>
  <c r="J107" i="1"/>
  <c r="J91" i="1"/>
  <c r="J75" i="1"/>
  <c r="J59" i="1"/>
  <c r="J43" i="1"/>
  <c r="J27" i="1"/>
  <c r="J11" i="1"/>
  <c r="E270" i="1"/>
  <c r="K270" i="1" s="1"/>
  <c r="E254" i="1"/>
  <c r="K254" i="1" s="1"/>
  <c r="E238" i="1"/>
  <c r="K238" i="1" s="1"/>
  <c r="E222" i="1"/>
  <c r="K222" i="1" s="1"/>
  <c r="E206" i="1"/>
  <c r="K206" i="1" s="1"/>
  <c r="E190" i="1"/>
  <c r="K190" i="1" s="1"/>
  <c r="E174" i="1"/>
  <c r="K174" i="1" s="1"/>
  <c r="E158" i="1"/>
  <c r="K158" i="1" s="1"/>
  <c r="E142" i="1"/>
  <c r="K142" i="1" s="1"/>
  <c r="E126" i="1"/>
  <c r="K126" i="1" s="1"/>
  <c r="E110" i="1"/>
  <c r="K110" i="1" s="1"/>
  <c r="E94" i="1"/>
  <c r="K94" i="1" s="1"/>
  <c r="E78" i="1"/>
  <c r="K78" i="1" s="1"/>
  <c r="E62" i="1"/>
  <c r="K62" i="1" s="1"/>
  <c r="E46" i="1"/>
  <c r="K46" i="1" s="1"/>
  <c r="E30" i="1"/>
  <c r="K30" i="1" s="1"/>
  <c r="E14" i="1"/>
  <c r="K14" i="1" s="1"/>
  <c r="J210" i="1"/>
  <c r="K177" i="1"/>
  <c r="J177" i="1"/>
  <c r="J96" i="1"/>
  <c r="J282" i="1"/>
  <c r="J266" i="1"/>
  <c r="J250" i="1"/>
  <c r="J234" i="1"/>
  <c r="J218" i="1"/>
  <c r="J202" i="1"/>
  <c r="J186" i="1"/>
  <c r="J170" i="1"/>
  <c r="J154" i="1"/>
  <c r="J138" i="1"/>
  <c r="J122" i="1"/>
  <c r="J106" i="1"/>
  <c r="J90" i="1"/>
  <c r="J74" i="1"/>
  <c r="J58" i="1"/>
  <c r="J42" i="1"/>
  <c r="J26" i="1"/>
  <c r="J10" i="1"/>
  <c r="E285" i="1"/>
  <c r="K285" i="1" s="1"/>
  <c r="E269" i="1"/>
  <c r="K269" i="1" s="1"/>
  <c r="E253" i="1"/>
  <c r="K253" i="1" s="1"/>
  <c r="E237" i="1"/>
  <c r="K237" i="1" s="1"/>
  <c r="E221" i="1"/>
  <c r="K221" i="1" s="1"/>
  <c r="E205" i="1"/>
  <c r="K205" i="1" s="1"/>
  <c r="E189" i="1"/>
  <c r="K189" i="1" s="1"/>
  <c r="E173" i="1"/>
  <c r="K173" i="1" s="1"/>
  <c r="E157" i="1"/>
  <c r="K157" i="1" s="1"/>
  <c r="E141" i="1"/>
  <c r="K141" i="1" s="1"/>
  <c r="E125" i="1"/>
  <c r="K125" i="1" s="1"/>
  <c r="E109" i="1"/>
  <c r="K109" i="1" s="1"/>
  <c r="E93" i="1"/>
  <c r="K93" i="1" s="1"/>
  <c r="E77" i="1"/>
  <c r="K77" i="1" s="1"/>
  <c r="E61" i="1"/>
  <c r="K61" i="1" s="1"/>
  <c r="E45" i="1"/>
  <c r="K45" i="1" s="1"/>
  <c r="E29" i="1"/>
  <c r="K29" i="1" s="1"/>
  <c r="E13" i="1"/>
  <c r="K13" i="1" s="1"/>
  <c r="J194" i="1"/>
  <c r="K34" i="1"/>
  <c r="J34" i="1"/>
  <c r="J225" i="1"/>
  <c r="K49" i="1"/>
  <c r="J49" i="1"/>
  <c r="J272" i="1"/>
  <c r="J160" i="1"/>
  <c r="J281" i="1"/>
  <c r="J265" i="1"/>
  <c r="J249" i="1"/>
  <c r="J233" i="1"/>
  <c r="J217" i="1"/>
  <c r="J201" i="1"/>
  <c r="J185" i="1"/>
  <c r="J169" i="1"/>
  <c r="J153" i="1"/>
  <c r="J137" i="1"/>
  <c r="J121" i="1"/>
  <c r="J105" i="1"/>
  <c r="J89" i="1"/>
  <c r="J73" i="1"/>
  <c r="J57" i="1"/>
  <c r="J41" i="1"/>
  <c r="J25" i="1"/>
  <c r="J9" i="1"/>
  <c r="E284" i="1"/>
  <c r="K284" i="1" s="1"/>
  <c r="E268" i="1"/>
  <c r="K268" i="1" s="1"/>
  <c r="E252" i="1"/>
  <c r="K252" i="1" s="1"/>
  <c r="E236" i="1"/>
  <c r="K236" i="1" s="1"/>
  <c r="E220" i="1"/>
  <c r="K220" i="1" s="1"/>
  <c r="E204" i="1"/>
  <c r="K204" i="1" s="1"/>
  <c r="E188" i="1"/>
  <c r="K188" i="1" s="1"/>
  <c r="E172" i="1"/>
  <c r="K172" i="1" s="1"/>
  <c r="E156" i="1"/>
  <c r="K156" i="1" s="1"/>
  <c r="E140" i="1"/>
  <c r="K140" i="1" s="1"/>
  <c r="E124" i="1"/>
  <c r="K124" i="1" s="1"/>
  <c r="E108" i="1"/>
  <c r="K108" i="1" s="1"/>
  <c r="E92" i="1"/>
  <c r="K92" i="1" s="1"/>
  <c r="E76" i="1"/>
  <c r="K76" i="1" s="1"/>
  <c r="E60" i="1"/>
  <c r="K60" i="1" s="1"/>
  <c r="E44" i="1"/>
  <c r="K44" i="1" s="1"/>
  <c r="E28" i="1"/>
  <c r="K28" i="1" s="1"/>
  <c r="E12" i="1"/>
  <c r="K12" i="1" s="1"/>
  <c r="J130" i="1"/>
  <c r="J241" i="1"/>
  <c r="J176" i="1"/>
  <c r="J280" i="1"/>
  <c r="J264" i="1"/>
  <c r="J248" i="1"/>
  <c r="J232" i="1"/>
  <c r="J216" i="1"/>
  <c r="J200" i="1"/>
  <c r="J184" i="1"/>
  <c r="J168" i="1"/>
  <c r="J152" i="1"/>
  <c r="J136" i="1"/>
  <c r="J120" i="1"/>
  <c r="J104" i="1"/>
  <c r="J88" i="1"/>
  <c r="J72" i="1"/>
  <c r="J56" i="1"/>
  <c r="J40" i="1"/>
  <c r="J24" i="1"/>
  <c r="J8" i="1"/>
  <c r="E283" i="1"/>
  <c r="K283" i="1" s="1"/>
  <c r="E267" i="1"/>
  <c r="K267" i="1" s="1"/>
  <c r="E251" i="1"/>
  <c r="K251" i="1" s="1"/>
  <c r="E235" i="1"/>
  <c r="K235" i="1" s="1"/>
  <c r="E219" i="1"/>
  <c r="K219" i="1" s="1"/>
  <c r="E203" i="1"/>
  <c r="K203" i="1" s="1"/>
  <c r="E187" i="1"/>
  <c r="K187" i="1" s="1"/>
  <c r="E171" i="1"/>
  <c r="K171" i="1" s="1"/>
  <c r="E155" i="1"/>
  <c r="K155" i="1" s="1"/>
  <c r="E139" i="1"/>
  <c r="K139" i="1" s="1"/>
  <c r="E123" i="1"/>
  <c r="K123" i="1" s="1"/>
  <c r="E107" i="1"/>
  <c r="K107" i="1" s="1"/>
  <c r="E91" i="1"/>
  <c r="K91" i="1" s="1"/>
  <c r="E75" i="1"/>
  <c r="K75" i="1" s="1"/>
  <c r="E59" i="1"/>
  <c r="K59" i="1" s="1"/>
  <c r="E43" i="1"/>
  <c r="K43" i="1" s="1"/>
  <c r="E27" i="1"/>
  <c r="K27" i="1" s="1"/>
  <c r="E11" i="1"/>
  <c r="K11" i="1" s="1"/>
  <c r="J258" i="1"/>
  <c r="K18" i="1"/>
  <c r="J18" i="1"/>
  <c r="J145" i="1"/>
  <c r="J240" i="1"/>
  <c r="J32" i="1"/>
  <c r="J279" i="1"/>
  <c r="J263" i="1"/>
  <c r="J247" i="1"/>
  <c r="J231" i="1"/>
  <c r="J215" i="1"/>
  <c r="J199" i="1"/>
  <c r="J183" i="1"/>
  <c r="J167" i="1"/>
  <c r="J151" i="1"/>
  <c r="J135" i="1"/>
  <c r="J119" i="1"/>
  <c r="J103" i="1"/>
  <c r="J87" i="1"/>
  <c r="J71" i="1"/>
  <c r="J55" i="1"/>
  <c r="J39" i="1"/>
  <c r="J23" i="1"/>
  <c r="J7" i="1"/>
  <c r="E282" i="1"/>
  <c r="K282" i="1" s="1"/>
  <c r="E266" i="1"/>
  <c r="K266" i="1" s="1"/>
  <c r="E250" i="1"/>
  <c r="K250" i="1" s="1"/>
  <c r="E234" i="1"/>
  <c r="K234" i="1" s="1"/>
  <c r="E218" i="1"/>
  <c r="K218" i="1" s="1"/>
  <c r="E202" i="1"/>
  <c r="K202" i="1" s="1"/>
  <c r="E186" i="1"/>
  <c r="K186" i="1" s="1"/>
  <c r="E170" i="1"/>
  <c r="K170" i="1" s="1"/>
  <c r="E154" i="1"/>
  <c r="K154" i="1" s="1"/>
  <c r="E138" i="1"/>
  <c r="K138" i="1" s="1"/>
  <c r="E122" i="1"/>
  <c r="K122" i="1" s="1"/>
  <c r="E106" i="1"/>
  <c r="K106" i="1" s="1"/>
  <c r="E90" i="1"/>
  <c r="K90" i="1" s="1"/>
  <c r="E74" i="1"/>
  <c r="K74" i="1" s="1"/>
  <c r="E58" i="1"/>
  <c r="K58" i="1" s="1"/>
  <c r="E42" i="1"/>
  <c r="K42" i="1" s="1"/>
  <c r="E26" i="1"/>
  <c r="K26" i="1" s="1"/>
  <c r="E10" i="1"/>
  <c r="K10" i="1" s="1"/>
  <c r="K17" i="1"/>
  <c r="J17" i="1"/>
  <c r="J64" i="1"/>
  <c r="J278" i="1"/>
  <c r="J262" i="1"/>
  <c r="J246" i="1"/>
  <c r="J230" i="1"/>
  <c r="J214" i="1"/>
  <c r="J198" i="1"/>
  <c r="J182" i="1"/>
  <c r="J166" i="1"/>
  <c r="J150" i="1"/>
  <c r="J134" i="1"/>
  <c r="J118" i="1"/>
  <c r="J102" i="1"/>
  <c r="J86" i="1"/>
  <c r="J70" i="1"/>
  <c r="J54" i="1"/>
  <c r="J38" i="1"/>
  <c r="J22" i="1"/>
  <c r="J6" i="1"/>
  <c r="E281" i="1"/>
  <c r="K281" i="1" s="1"/>
  <c r="E265" i="1"/>
  <c r="K265" i="1" s="1"/>
  <c r="E249" i="1"/>
  <c r="K249" i="1" s="1"/>
  <c r="E233" i="1"/>
  <c r="K233" i="1" s="1"/>
  <c r="E217" i="1"/>
  <c r="K217" i="1" s="1"/>
  <c r="E201" i="1"/>
  <c r="K201" i="1" s="1"/>
  <c r="E185" i="1"/>
  <c r="K185" i="1" s="1"/>
  <c r="E169" i="1"/>
  <c r="K169" i="1" s="1"/>
  <c r="E153" i="1"/>
  <c r="K153" i="1" s="1"/>
  <c r="E137" i="1"/>
  <c r="K137" i="1" s="1"/>
  <c r="E121" i="1"/>
  <c r="K121" i="1" s="1"/>
  <c r="E105" i="1"/>
  <c r="K105" i="1" s="1"/>
  <c r="E89" i="1"/>
  <c r="K89" i="1" s="1"/>
  <c r="E73" i="1"/>
  <c r="K73" i="1" s="1"/>
  <c r="E57" i="1"/>
  <c r="K57" i="1" s="1"/>
  <c r="E41" i="1"/>
  <c r="K41" i="1" s="1"/>
  <c r="E25" i="1"/>
  <c r="K25" i="1" s="1"/>
  <c r="E9" i="1"/>
  <c r="K9" i="1" s="1"/>
  <c r="J178" i="1"/>
  <c r="K161" i="1"/>
  <c r="J161" i="1"/>
  <c r="J192" i="1"/>
  <c r="K277" i="1"/>
  <c r="J277" i="1"/>
  <c r="J261" i="1"/>
  <c r="J245" i="1"/>
  <c r="J229" i="1"/>
  <c r="J213" i="1"/>
  <c r="K197" i="1"/>
  <c r="J197" i="1"/>
  <c r="J181" i="1"/>
  <c r="K165" i="1"/>
  <c r="J165" i="1"/>
  <c r="K149" i="1"/>
  <c r="J149" i="1"/>
  <c r="J133" i="1"/>
  <c r="J117" i="1"/>
  <c r="K101" i="1"/>
  <c r="J101" i="1"/>
  <c r="K85" i="1"/>
  <c r="J85" i="1"/>
  <c r="K69" i="1"/>
  <c r="J69" i="1"/>
  <c r="K53" i="1"/>
  <c r="J53" i="1"/>
  <c r="K37" i="1"/>
  <c r="J37" i="1"/>
  <c r="K21" i="1"/>
  <c r="J21" i="1"/>
  <c r="J5" i="1"/>
  <c r="E280" i="1"/>
  <c r="K280" i="1" s="1"/>
  <c r="E264" i="1"/>
  <c r="K264" i="1" s="1"/>
  <c r="E248" i="1"/>
  <c r="K248" i="1" s="1"/>
  <c r="E232" i="1"/>
  <c r="K232" i="1" s="1"/>
  <c r="E216" i="1"/>
  <c r="K216" i="1" s="1"/>
  <c r="E200" i="1"/>
  <c r="K200" i="1" s="1"/>
  <c r="E184" i="1"/>
  <c r="K184" i="1" s="1"/>
  <c r="E168" i="1"/>
  <c r="K168" i="1" s="1"/>
  <c r="E152" i="1"/>
  <c r="K152" i="1" s="1"/>
  <c r="E136" i="1"/>
  <c r="K136" i="1" s="1"/>
  <c r="E120" i="1"/>
  <c r="K120" i="1" s="1"/>
  <c r="E104" i="1"/>
  <c r="K104" i="1" s="1"/>
  <c r="E88" i="1"/>
  <c r="K88" i="1" s="1"/>
  <c r="E72" i="1"/>
  <c r="K72" i="1" s="1"/>
  <c r="E56" i="1"/>
  <c r="K56" i="1" s="1"/>
  <c r="E40" i="1"/>
  <c r="K40" i="1" s="1"/>
  <c r="E24" i="1"/>
  <c r="K24" i="1" s="1"/>
  <c r="E8" i="1"/>
  <c r="K8" i="1" s="1"/>
  <c r="J66" i="1"/>
  <c r="J257" i="1"/>
  <c r="J276" i="1"/>
  <c r="J260" i="1"/>
  <c r="K244" i="1"/>
  <c r="J244" i="1"/>
  <c r="K228" i="1"/>
  <c r="J228" i="1"/>
  <c r="J212" i="1"/>
  <c r="J196" i="1"/>
  <c r="J180" i="1"/>
  <c r="J164" i="1"/>
  <c r="J148" i="1"/>
  <c r="J132" i="1"/>
  <c r="K116" i="1"/>
  <c r="J116" i="1"/>
  <c r="K100" i="1"/>
  <c r="J100" i="1"/>
  <c r="J84" i="1"/>
  <c r="K68" i="1"/>
  <c r="J68" i="1"/>
  <c r="K52" i="1"/>
  <c r="J52" i="1"/>
  <c r="J36" i="1"/>
  <c r="J20" i="1"/>
  <c r="J4" i="1"/>
  <c r="E279" i="1"/>
  <c r="K279" i="1" s="1"/>
  <c r="E263" i="1"/>
  <c r="K263" i="1" s="1"/>
  <c r="E247" i="1"/>
  <c r="K247" i="1" s="1"/>
  <c r="E231" i="1"/>
  <c r="K231" i="1" s="1"/>
  <c r="E215" i="1"/>
  <c r="K215" i="1" s="1"/>
  <c r="E199" i="1"/>
  <c r="K199" i="1" s="1"/>
  <c r="E183" i="1"/>
  <c r="K183" i="1" s="1"/>
  <c r="E167" i="1"/>
  <c r="K167" i="1" s="1"/>
  <c r="E151" i="1"/>
  <c r="K151" i="1" s="1"/>
  <c r="E135" i="1"/>
  <c r="K135" i="1" s="1"/>
  <c r="E119" i="1"/>
  <c r="K119" i="1" s="1"/>
  <c r="E103" i="1"/>
  <c r="K103" i="1" s="1"/>
  <c r="E87" i="1"/>
  <c r="K87" i="1" s="1"/>
  <c r="E71" i="1"/>
  <c r="K71" i="1" s="1"/>
  <c r="E55" i="1"/>
  <c r="K55" i="1" s="1"/>
  <c r="E39" i="1"/>
  <c r="K39" i="1" s="1"/>
  <c r="E23" i="1"/>
  <c r="K23" i="1" s="1"/>
  <c r="E7" i="1"/>
  <c r="K7" i="1" s="1"/>
  <c r="K242" i="1"/>
  <c r="J242" i="1"/>
  <c r="K2" i="1"/>
  <c r="J2" i="1"/>
  <c r="J129" i="1"/>
  <c r="K275" i="1"/>
  <c r="J275" i="1"/>
  <c r="J259" i="1"/>
  <c r="J243" i="1"/>
  <c r="K227" i="1"/>
  <c r="J227" i="1"/>
  <c r="K211" i="1"/>
  <c r="J211" i="1"/>
  <c r="J195" i="1"/>
  <c r="J179" i="1"/>
  <c r="K163" i="1"/>
  <c r="J163" i="1"/>
  <c r="J147" i="1"/>
  <c r="J131" i="1"/>
  <c r="J115" i="1"/>
  <c r="J99" i="1"/>
  <c r="K83" i="1"/>
  <c r="J83" i="1"/>
  <c r="J67" i="1"/>
  <c r="J51" i="1"/>
  <c r="K35" i="1"/>
  <c r="J35" i="1"/>
  <c r="J19" i="1"/>
  <c r="K3" i="1"/>
  <c r="J3" i="1"/>
  <c r="E278" i="1"/>
  <c r="K278" i="1" s="1"/>
  <c r="E262" i="1"/>
  <c r="K262" i="1" s="1"/>
  <c r="E246" i="1"/>
  <c r="K246" i="1" s="1"/>
  <c r="E230" i="1"/>
  <c r="K230" i="1" s="1"/>
  <c r="E214" i="1"/>
  <c r="K214" i="1" s="1"/>
  <c r="E198" i="1"/>
  <c r="K198" i="1" s="1"/>
  <c r="E182" i="1"/>
  <c r="K182" i="1" s="1"/>
  <c r="E166" i="1"/>
  <c r="K166" i="1" s="1"/>
  <c r="E150" i="1"/>
  <c r="K150" i="1" s="1"/>
  <c r="E134" i="1"/>
  <c r="K134" i="1" s="1"/>
  <c r="E118" i="1"/>
  <c r="K118" i="1" s="1"/>
  <c r="E102" i="1"/>
  <c r="K102" i="1" s="1"/>
  <c r="E86" i="1"/>
  <c r="K86" i="1" s="1"/>
  <c r="E70" i="1"/>
  <c r="K70" i="1" s="1"/>
  <c r="E54" i="1"/>
  <c r="K54" i="1" s="1"/>
  <c r="E38" i="1"/>
  <c r="K38" i="1" s="1"/>
  <c r="E22" i="1"/>
  <c r="K22" i="1" s="1"/>
  <c r="E6" i="1"/>
  <c r="K6" i="1" s="1"/>
  <c r="K36" i="1" l="1"/>
  <c r="K192" i="1"/>
  <c r="K32" i="1"/>
  <c r="K115" i="1"/>
  <c r="K273" i="1"/>
  <c r="K145" i="1"/>
  <c r="K181" i="1"/>
  <c r="K212" i="1"/>
  <c r="K258" i="1"/>
  <c r="K208" i="1"/>
  <c r="K194" i="1"/>
  <c r="N181" i="1"/>
  <c r="N208" i="1"/>
  <c r="N81" i="1"/>
  <c r="N225" i="1"/>
  <c r="N66" i="1"/>
  <c r="N51" i="1"/>
  <c r="N179" i="1"/>
  <c r="N20" i="1"/>
  <c r="N148" i="1"/>
  <c r="N276" i="1"/>
  <c r="N240" i="1"/>
  <c r="N257" i="1"/>
  <c r="N83" i="1"/>
  <c r="N211" i="1"/>
  <c r="N52" i="1"/>
  <c r="N180" i="1"/>
  <c r="N21" i="1"/>
  <c r="N149" i="1"/>
  <c r="N80" i="1"/>
  <c r="N96" i="1"/>
  <c r="N129" i="1"/>
  <c r="N273" i="1"/>
  <c r="N242" i="1"/>
  <c r="N277" i="1"/>
  <c r="N114" i="1"/>
  <c r="N99" i="1"/>
  <c r="N227" i="1"/>
  <c r="N68" i="1"/>
  <c r="N196" i="1"/>
  <c r="N37" i="1"/>
  <c r="N165" i="1"/>
  <c r="N164" i="1"/>
  <c r="K261" i="1"/>
  <c r="N272" i="1"/>
  <c r="N145" i="1"/>
  <c r="N258" i="1"/>
  <c r="K67" i="1"/>
  <c r="N130" i="1"/>
  <c r="N115" i="1"/>
  <c r="N243" i="1"/>
  <c r="N212" i="1"/>
  <c r="N53" i="1"/>
  <c r="N245" i="1"/>
  <c r="N5" i="1"/>
  <c r="N17" i="1"/>
  <c r="N161" i="1"/>
  <c r="N195" i="1"/>
  <c r="N160" i="1"/>
  <c r="N131" i="1"/>
  <c r="N259" i="1"/>
  <c r="N100" i="1"/>
  <c r="N228" i="1"/>
  <c r="N69" i="1"/>
  <c r="N82" i="1"/>
  <c r="N177" i="1"/>
  <c r="N18" i="1"/>
  <c r="N162" i="1"/>
  <c r="N197" i="1"/>
  <c r="N241" i="1"/>
  <c r="K80" i="1"/>
  <c r="K81" i="1"/>
  <c r="N16" i="1"/>
  <c r="N176" i="1"/>
  <c r="N49" i="1"/>
  <c r="N147" i="1"/>
  <c r="N275" i="1"/>
  <c r="N116" i="1"/>
  <c r="N244" i="1"/>
  <c r="N85" i="1"/>
  <c r="N36" i="1"/>
  <c r="N34" i="1"/>
  <c r="N178" i="1"/>
  <c r="N64" i="1"/>
  <c r="N210" i="1"/>
  <c r="N67" i="1"/>
  <c r="N32" i="1"/>
  <c r="N192" i="1"/>
  <c r="N65" i="1"/>
  <c r="N209" i="1"/>
  <c r="N35" i="1"/>
  <c r="N163" i="1"/>
  <c r="N132" i="1"/>
  <c r="N260" i="1"/>
  <c r="N101" i="1"/>
  <c r="N133" i="1"/>
  <c r="N261" i="1"/>
  <c r="N194" i="1"/>
  <c r="N229" i="1"/>
  <c r="M98" i="1"/>
  <c r="K276" i="1"/>
  <c r="K179" i="1"/>
  <c r="K148" i="1"/>
  <c r="K20" i="1"/>
  <c r="K51" i="1"/>
  <c r="K64" i="1"/>
  <c r="K210" i="1"/>
  <c r="K209" i="1"/>
  <c r="K129" i="1"/>
  <c r="K245" i="1"/>
  <c r="M19" i="1"/>
  <c r="K257" i="1"/>
  <c r="M256" i="1"/>
  <c r="K260" i="1"/>
  <c r="K132" i="1"/>
  <c r="K82" i="1"/>
  <c r="M269" i="1"/>
  <c r="M50" i="1"/>
  <c r="K229" i="1"/>
  <c r="K243" i="1"/>
  <c r="K180" i="1"/>
  <c r="K66" i="1"/>
  <c r="K259" i="1"/>
  <c r="K196" i="1"/>
  <c r="K131" i="1"/>
  <c r="K147" i="1"/>
  <c r="K5" i="1"/>
  <c r="K241" i="1"/>
  <c r="M7" i="1"/>
  <c r="K178" i="1"/>
  <c r="K96" i="1"/>
  <c r="M4" i="1"/>
  <c r="M117" i="1"/>
  <c r="M213" i="1"/>
  <c r="K162" i="1"/>
  <c r="M263" i="1"/>
  <c r="M203" i="1"/>
  <c r="M238" i="1"/>
  <c r="M216" i="1"/>
  <c r="K99" i="1"/>
  <c r="M172" i="1"/>
  <c r="M223" i="1"/>
  <c r="M125" i="1"/>
  <c r="M170" i="1"/>
  <c r="K160" i="1"/>
  <c r="M166" i="1"/>
  <c r="M141" i="1"/>
  <c r="K272" i="1"/>
  <c r="M226" i="1"/>
  <c r="M135" i="1"/>
  <c r="M75" i="1"/>
  <c r="M110" i="1"/>
  <c r="M88" i="1"/>
  <c r="M44" i="1"/>
  <c r="M95" i="1"/>
  <c r="M84" i="1"/>
  <c r="K225" i="1"/>
  <c r="M113" i="1"/>
  <c r="M42" i="1"/>
  <c r="K176" i="1"/>
  <c r="M13" i="1"/>
  <c r="M38" i="1"/>
  <c r="M73" i="1"/>
  <c r="M201" i="1"/>
  <c r="K240" i="1"/>
  <c r="K130" i="1"/>
  <c r="M146" i="1"/>
  <c r="M54" i="1"/>
  <c r="M182" i="1"/>
  <c r="M23" i="1"/>
  <c r="M151" i="1"/>
  <c r="M279" i="1"/>
  <c r="M104" i="1"/>
  <c r="M232" i="1"/>
  <c r="M58" i="1"/>
  <c r="M186" i="1"/>
  <c r="M91" i="1"/>
  <c r="M219" i="1"/>
  <c r="M60" i="1"/>
  <c r="M188" i="1"/>
  <c r="M29" i="1"/>
  <c r="M157" i="1"/>
  <c r="M285" i="1"/>
  <c r="N285" i="1" s="1"/>
  <c r="M126" i="1"/>
  <c r="M254" i="1"/>
  <c r="M111" i="1"/>
  <c r="M239" i="1"/>
  <c r="M89" i="1"/>
  <c r="M217" i="1"/>
  <c r="K164" i="1"/>
  <c r="M70" i="1"/>
  <c r="M198" i="1"/>
  <c r="M39" i="1"/>
  <c r="M167" i="1"/>
  <c r="M280" i="1"/>
  <c r="M120" i="1"/>
  <c r="M248" i="1"/>
  <c r="M105" i="1"/>
  <c r="M233" i="1"/>
  <c r="M74" i="1"/>
  <c r="M202" i="1"/>
  <c r="K65" i="1"/>
  <c r="M107" i="1"/>
  <c r="M235" i="1"/>
  <c r="M76" i="1"/>
  <c r="M204" i="1"/>
  <c r="M45" i="1"/>
  <c r="M173" i="1"/>
  <c r="M14" i="1"/>
  <c r="M142" i="1"/>
  <c r="M270" i="1"/>
  <c r="M127" i="1"/>
  <c r="M255" i="1"/>
  <c r="M97" i="1"/>
  <c r="M193" i="1"/>
  <c r="M86" i="1"/>
  <c r="M214" i="1"/>
  <c r="M55" i="1"/>
  <c r="M183" i="1"/>
  <c r="M8" i="1"/>
  <c r="M136" i="1"/>
  <c r="M264" i="1"/>
  <c r="M121" i="1"/>
  <c r="M249" i="1"/>
  <c r="M90" i="1"/>
  <c r="M218" i="1"/>
  <c r="M123" i="1"/>
  <c r="M251" i="1"/>
  <c r="M92" i="1"/>
  <c r="M220" i="1"/>
  <c r="M61" i="1"/>
  <c r="M189" i="1"/>
  <c r="M30" i="1"/>
  <c r="M158" i="1"/>
  <c r="M15" i="1"/>
  <c r="M143" i="1"/>
  <c r="M271" i="1"/>
  <c r="M102" i="1"/>
  <c r="M230" i="1"/>
  <c r="M71" i="1"/>
  <c r="M199" i="1"/>
  <c r="M24" i="1"/>
  <c r="M152" i="1"/>
  <c r="M265" i="1"/>
  <c r="M106" i="1"/>
  <c r="M234" i="1"/>
  <c r="M11" i="1"/>
  <c r="M139" i="1"/>
  <c r="M267" i="1"/>
  <c r="M108" i="1"/>
  <c r="M236" i="1"/>
  <c r="M77" i="1"/>
  <c r="M205" i="1"/>
  <c r="M46" i="1"/>
  <c r="M174" i="1"/>
  <c r="M31" i="1"/>
  <c r="M159" i="1"/>
  <c r="M274" i="1"/>
  <c r="M9" i="1"/>
  <c r="M137" i="1"/>
  <c r="K133" i="1"/>
  <c r="M112" i="1"/>
  <c r="M33" i="1"/>
  <c r="M118" i="1"/>
  <c r="M246" i="1"/>
  <c r="M87" i="1"/>
  <c r="M215" i="1"/>
  <c r="M40" i="1"/>
  <c r="M168" i="1"/>
  <c r="M25" i="1"/>
  <c r="M153" i="1"/>
  <c r="M281" i="1"/>
  <c r="M122" i="1"/>
  <c r="M250" i="1"/>
  <c r="M27" i="1"/>
  <c r="M155" i="1"/>
  <c r="M283" i="1"/>
  <c r="M124" i="1"/>
  <c r="M252" i="1"/>
  <c r="M93" i="1"/>
  <c r="M221" i="1"/>
  <c r="M62" i="1"/>
  <c r="M190" i="1"/>
  <c r="M47" i="1"/>
  <c r="M175" i="1"/>
  <c r="M128" i="1"/>
  <c r="M224" i="1"/>
  <c r="M6" i="1"/>
  <c r="M134" i="1"/>
  <c r="M262" i="1"/>
  <c r="M103" i="1"/>
  <c r="M231" i="1"/>
  <c r="M56" i="1"/>
  <c r="M184" i="1"/>
  <c r="M10" i="1"/>
  <c r="M138" i="1"/>
  <c r="M266" i="1"/>
  <c r="M43" i="1"/>
  <c r="M171" i="1"/>
  <c r="M12" i="1"/>
  <c r="M140" i="1"/>
  <c r="M268" i="1"/>
  <c r="M109" i="1"/>
  <c r="M237" i="1"/>
  <c r="M78" i="1"/>
  <c r="M206" i="1"/>
  <c r="M63" i="1"/>
  <c r="M191" i="1"/>
  <c r="M41" i="1"/>
  <c r="M169" i="1"/>
  <c r="K195" i="1"/>
  <c r="M144" i="1"/>
  <c r="M22" i="1"/>
  <c r="M150" i="1"/>
  <c r="M278" i="1"/>
  <c r="M119" i="1"/>
  <c r="M247" i="1"/>
  <c r="M72" i="1"/>
  <c r="M200" i="1"/>
  <c r="M57" i="1"/>
  <c r="M26" i="1"/>
  <c r="M154" i="1"/>
  <c r="M282" i="1"/>
  <c r="M59" i="1"/>
  <c r="M187" i="1"/>
  <c r="M28" i="1"/>
  <c r="M156" i="1"/>
  <c r="M284" i="1"/>
  <c r="N284" i="1" s="1"/>
  <c r="M253" i="1"/>
  <c r="M94" i="1"/>
  <c r="M222" i="1"/>
  <c r="M79" i="1"/>
  <c r="M207" i="1"/>
  <c r="M48" i="1"/>
  <c r="M185" i="1"/>
  <c r="O67" i="1" l="1"/>
  <c r="O66" i="1"/>
  <c r="O210" i="1"/>
  <c r="O242" i="1"/>
  <c r="O179" i="1"/>
  <c r="O163" i="1"/>
  <c r="O162" i="1"/>
  <c r="O178" i="1"/>
  <c r="N168" i="1"/>
  <c r="N104" i="1"/>
  <c r="N172" i="1"/>
  <c r="N79" i="1"/>
  <c r="O81" i="1" s="1"/>
  <c r="N119" i="1"/>
  <c r="N12" i="1"/>
  <c r="N47" i="1"/>
  <c r="N40" i="1"/>
  <c r="N77" i="1"/>
  <c r="N143" i="1"/>
  <c r="N8" i="1"/>
  <c r="N235" i="1"/>
  <c r="N89" i="1"/>
  <c r="N279" i="1"/>
  <c r="N84" i="1"/>
  <c r="O82" i="1" s="1"/>
  <c r="N140" i="1"/>
  <c r="N217" i="1"/>
  <c r="N222" i="1"/>
  <c r="N278" i="1"/>
  <c r="N171" i="1"/>
  <c r="N190" i="1"/>
  <c r="N215" i="1"/>
  <c r="N236" i="1"/>
  <c r="N15" i="1"/>
  <c r="N183" i="1"/>
  <c r="N107" i="1"/>
  <c r="N239" i="1"/>
  <c r="O241" i="1" s="1"/>
  <c r="N151" i="1"/>
  <c r="N95" i="1"/>
  <c r="N216" i="1"/>
  <c r="N19" i="1"/>
  <c r="N268" i="1"/>
  <c r="N102" i="1"/>
  <c r="N76" i="1"/>
  <c r="N150" i="1"/>
  <c r="N158" i="1"/>
  <c r="N23" i="1"/>
  <c r="N98" i="1"/>
  <c r="N266" i="1"/>
  <c r="N267" i="1"/>
  <c r="N214" i="1"/>
  <c r="N254" i="1"/>
  <c r="N182" i="1"/>
  <c r="N203" i="1"/>
  <c r="N144" i="1"/>
  <c r="N138" i="1"/>
  <c r="N93" i="1"/>
  <c r="N118" i="1"/>
  <c r="N139" i="1"/>
  <c r="N189" i="1"/>
  <c r="N86" i="1"/>
  <c r="N74" i="1"/>
  <c r="N126" i="1"/>
  <c r="N54" i="1"/>
  <c r="N110" i="1"/>
  <c r="N263" i="1"/>
  <c r="N25" i="1"/>
  <c r="N271" i="1"/>
  <c r="N55" i="1"/>
  <c r="N221" i="1"/>
  <c r="N30" i="1"/>
  <c r="N202" i="1"/>
  <c r="N88" i="1"/>
  <c r="N156" i="1"/>
  <c r="N10" i="1"/>
  <c r="N252" i="1"/>
  <c r="N33" i="1"/>
  <c r="O35" i="1" s="1"/>
  <c r="N11" i="1"/>
  <c r="N61" i="1"/>
  <c r="N193" i="1"/>
  <c r="O195" i="1" s="1"/>
  <c r="N233" i="1"/>
  <c r="N146" i="1"/>
  <c r="O147" i="1" s="1"/>
  <c r="N75" i="1"/>
  <c r="O131" i="1"/>
  <c r="N264" i="1"/>
  <c r="N184" i="1"/>
  <c r="N157" i="1"/>
  <c r="N41" i="1"/>
  <c r="N92" i="1"/>
  <c r="N269" i="1"/>
  <c r="N191" i="1"/>
  <c r="N265" i="1"/>
  <c r="N251" i="1"/>
  <c r="N127" i="1"/>
  <c r="N120" i="1"/>
  <c r="N188" i="1"/>
  <c r="N201" i="1"/>
  <c r="N4" i="1"/>
  <c r="O259" i="1"/>
  <c r="N72" i="1"/>
  <c r="N46" i="1"/>
  <c r="N205" i="1"/>
  <c r="N62" i="1"/>
  <c r="N238" i="1"/>
  <c r="N253" i="1"/>
  <c r="N169" i="1"/>
  <c r="N105" i="1"/>
  <c r="N29" i="1"/>
  <c r="N27" i="1"/>
  <c r="N9" i="1"/>
  <c r="N152" i="1"/>
  <c r="N123" i="1"/>
  <c r="N270" i="1"/>
  <c r="N280" i="1"/>
  <c r="N60" i="1"/>
  <c r="N73" i="1"/>
  <c r="N141" i="1"/>
  <c r="N48" i="1"/>
  <c r="N232" i="1"/>
  <c r="N43" i="1"/>
  <c r="N112" i="1"/>
  <c r="N135" i="1"/>
  <c r="N206" i="1"/>
  <c r="N24" i="1"/>
  <c r="N218" i="1"/>
  <c r="N142" i="1"/>
  <c r="N167" i="1"/>
  <c r="N219" i="1"/>
  <c r="N38" i="1"/>
  <c r="O36" i="1" s="1"/>
  <c r="N166" i="1"/>
  <c r="N204" i="1"/>
  <c r="N175" i="1"/>
  <c r="O177" i="1" s="1"/>
  <c r="N94" i="1"/>
  <c r="N111" i="1"/>
  <c r="N22" i="1"/>
  <c r="N124" i="1"/>
  <c r="N97" i="1"/>
  <c r="N56" i="1"/>
  <c r="N248" i="1"/>
  <c r="N137" i="1"/>
  <c r="N103" i="1"/>
  <c r="N262" i="1"/>
  <c r="O260" i="1" s="1"/>
  <c r="N134" i="1"/>
  <c r="N159" i="1"/>
  <c r="O161" i="1" s="1"/>
  <c r="N199" i="1"/>
  <c r="N90" i="1"/>
  <c r="N14" i="1"/>
  <c r="N39" i="1"/>
  <c r="N91" i="1"/>
  <c r="N13" i="1"/>
  <c r="N7" i="1"/>
  <c r="N247" i="1"/>
  <c r="N108" i="1"/>
  <c r="N246" i="1"/>
  <c r="O244" i="1" s="1"/>
  <c r="N28" i="1"/>
  <c r="N220" i="1"/>
  <c r="N213" i="1"/>
  <c r="O211" i="1" s="1"/>
  <c r="N187" i="1"/>
  <c r="N106" i="1"/>
  <c r="N226" i="1"/>
  <c r="O227" i="1" s="1"/>
  <c r="N59" i="1"/>
  <c r="N231" i="1"/>
  <c r="N63" i="1"/>
  <c r="O65" i="1" s="1"/>
  <c r="N274" i="1"/>
  <c r="O273" i="1" s="1"/>
  <c r="N26" i="1"/>
  <c r="N57" i="1"/>
  <c r="N281" i="1"/>
  <c r="N71" i="1"/>
  <c r="N249" i="1"/>
  <c r="N173" i="1"/>
  <c r="N198" i="1"/>
  <c r="N186" i="1"/>
  <c r="N170" i="1"/>
  <c r="O243" i="1"/>
  <c r="N128" i="1"/>
  <c r="O130" i="1" s="1"/>
  <c r="N207" i="1"/>
  <c r="O209" i="1" s="1"/>
  <c r="N136" i="1"/>
  <c r="N87" i="1"/>
  <c r="N44" i="1"/>
  <c r="N234" i="1"/>
  <c r="N50" i="1"/>
  <c r="N283" i="1"/>
  <c r="N255" i="1"/>
  <c r="N117" i="1"/>
  <c r="N155" i="1"/>
  <c r="N282" i="1"/>
  <c r="N154" i="1"/>
  <c r="N250" i="1"/>
  <c r="N78" i="1"/>
  <c r="N122" i="1"/>
  <c r="N237" i="1"/>
  <c r="N6" i="1"/>
  <c r="N31" i="1"/>
  <c r="O33" i="1" s="1"/>
  <c r="P33" i="1" s="1"/>
  <c r="N185" i="1"/>
  <c r="N200" i="1"/>
  <c r="N109" i="1"/>
  <c r="N224" i="1"/>
  <c r="N153" i="1"/>
  <c r="N174" i="1"/>
  <c r="O176" i="1" s="1"/>
  <c r="N230" i="1"/>
  <c r="N121" i="1"/>
  <c r="N45" i="1"/>
  <c r="N70" i="1"/>
  <c r="O68" i="1" s="1"/>
  <c r="N58" i="1"/>
  <c r="N42" i="1"/>
  <c r="N125" i="1"/>
  <c r="N256" i="1"/>
  <c r="O258" i="1" s="1"/>
  <c r="N113" i="1"/>
  <c r="O115" i="1" s="1"/>
  <c r="N223" i="1"/>
  <c r="O95" i="1"/>
  <c r="P95" i="1" s="1"/>
  <c r="O180" i="1"/>
  <c r="O20" i="1"/>
  <c r="O182" i="1"/>
  <c r="P182" i="1" s="1"/>
  <c r="O83" i="1"/>
  <c r="O18" i="1"/>
  <c r="O240" i="1"/>
  <c r="O19" i="1"/>
  <c r="P19" i="1" s="1"/>
  <c r="O160" i="1" l="1"/>
  <c r="O92" i="1"/>
  <c r="O17" i="1"/>
  <c r="P160" i="1"/>
  <c r="Q160" i="1"/>
  <c r="P273" i="1"/>
  <c r="Q273" i="1"/>
  <c r="O43" i="1"/>
  <c r="P211" i="1"/>
  <c r="Q211" i="1"/>
  <c r="O102" i="1"/>
  <c r="P35" i="1"/>
  <c r="Q35" i="1"/>
  <c r="P81" i="1"/>
  <c r="Q81" i="1"/>
  <c r="P244" i="1"/>
  <c r="Q244" i="1"/>
  <c r="P178" i="1"/>
  <c r="Q178" i="1"/>
  <c r="Q95" i="1"/>
  <c r="P260" i="1"/>
  <c r="Q260" i="1"/>
  <c r="P18" i="1"/>
  <c r="Q18" i="1"/>
  <c r="P82" i="1"/>
  <c r="Q82" i="1"/>
  <c r="P162" i="1"/>
  <c r="Q162" i="1"/>
  <c r="Q33" i="1"/>
  <c r="P163" i="1"/>
  <c r="Q163" i="1"/>
  <c r="P83" i="1"/>
  <c r="Q83" i="1"/>
  <c r="P176" i="1"/>
  <c r="Q176" i="1"/>
  <c r="P179" i="1"/>
  <c r="Q179" i="1"/>
  <c r="P68" i="1"/>
  <c r="Q68" i="1"/>
  <c r="O275" i="1"/>
  <c r="P242" i="1"/>
  <c r="Q242" i="1"/>
  <c r="P243" i="1"/>
  <c r="Q243" i="1"/>
  <c r="P241" i="1"/>
  <c r="Q241" i="1"/>
  <c r="P210" i="1"/>
  <c r="Q210" i="1"/>
  <c r="P240" i="1"/>
  <c r="Q240" i="1"/>
  <c r="P20" i="1"/>
  <c r="Q20" i="1"/>
  <c r="P177" i="1"/>
  <c r="Q177" i="1"/>
  <c r="P131" i="1"/>
  <c r="Q131" i="1"/>
  <c r="P66" i="1"/>
  <c r="Q66" i="1"/>
  <c r="P180" i="1"/>
  <c r="Q180" i="1"/>
  <c r="P65" i="1"/>
  <c r="Q65" i="1"/>
  <c r="P259" i="1"/>
  <c r="Q259" i="1"/>
  <c r="P67" i="1"/>
  <c r="Q67" i="1"/>
  <c r="P147" i="1"/>
  <c r="Q147" i="1"/>
  <c r="P17" i="1"/>
  <c r="Q17" i="1"/>
  <c r="Q19" i="1"/>
  <c r="O225" i="1"/>
  <c r="O138" i="1"/>
  <c r="P36" i="1"/>
  <c r="Q36" i="1"/>
  <c r="P115" i="1"/>
  <c r="Q115" i="1"/>
  <c r="P209" i="1"/>
  <c r="Q209" i="1"/>
  <c r="P227" i="1"/>
  <c r="Q227" i="1"/>
  <c r="P161" i="1"/>
  <c r="Q161" i="1"/>
  <c r="P195" i="1"/>
  <c r="Q195" i="1"/>
  <c r="Q182" i="1"/>
  <c r="P258" i="1"/>
  <c r="Q258" i="1"/>
  <c r="P130" i="1"/>
  <c r="Q130" i="1"/>
  <c r="O133" i="1"/>
  <c r="O212" i="1"/>
  <c r="O34" i="1"/>
  <c r="O194" i="1"/>
  <c r="O201" i="1"/>
  <c r="O165" i="1"/>
  <c r="O42" i="1"/>
  <c r="O218" i="1"/>
  <c r="O80" i="1"/>
  <c r="O214" i="1"/>
  <c r="O118" i="1"/>
  <c r="O73" i="1"/>
  <c r="O132" i="1"/>
  <c r="O215" i="1"/>
  <c r="O88" i="1"/>
  <c r="O49" i="1"/>
  <c r="O208" i="1"/>
  <c r="O192" i="1"/>
  <c r="O11" i="1"/>
  <c r="O164" i="1"/>
  <c r="O121" i="1"/>
  <c r="O113" i="1"/>
  <c r="O111" i="1"/>
  <c r="O235" i="1"/>
  <c r="O37" i="1"/>
  <c r="O56" i="1"/>
  <c r="O96" i="1"/>
  <c r="O216" i="1"/>
  <c r="O21" i="1"/>
  <c r="O46" i="1"/>
  <c r="O129" i="1"/>
  <c r="O252" i="1"/>
  <c r="O85" i="1"/>
  <c r="O150" i="1"/>
  <c r="O254" i="1"/>
  <c r="O74" i="1"/>
  <c r="O57" i="1"/>
  <c r="O168" i="1"/>
  <c r="O271" i="1"/>
  <c r="O158" i="1"/>
  <c r="O108" i="1"/>
  <c r="O255" i="1"/>
  <c r="O94" i="1"/>
  <c r="O229" i="1"/>
  <c r="O249" i="1"/>
  <c r="O123" i="1"/>
  <c r="O44" i="1"/>
  <c r="O283" i="1"/>
  <c r="O22" i="1"/>
  <c r="O232" i="1"/>
  <c r="O228" i="1"/>
  <c r="O256" i="1"/>
  <c r="O154" i="1"/>
  <c r="O50" i="1"/>
  <c r="O91" i="1"/>
  <c r="O10" i="1"/>
  <c r="O272" i="1"/>
  <c r="O166" i="1"/>
  <c r="O202" i="1"/>
  <c r="O185" i="1"/>
  <c r="O84" i="1"/>
  <c r="O109" i="1"/>
  <c r="O251" i="1"/>
  <c r="O149" i="1"/>
  <c r="O222" i="1"/>
  <c r="O52" i="1"/>
  <c r="O99" i="1"/>
  <c r="O86" i="1"/>
  <c r="O12" i="1"/>
  <c r="O137" i="1"/>
  <c r="O16" i="1"/>
  <c r="O120" i="1"/>
  <c r="O270" i="1"/>
  <c r="O7" i="1"/>
  <c r="O25" i="1"/>
  <c r="O31" i="1"/>
  <c r="O167" i="1"/>
  <c r="O274" i="1"/>
  <c r="O51" i="1"/>
  <c r="O233" i="1"/>
  <c r="O159" i="1"/>
  <c r="O236" i="1"/>
  <c r="O8" i="1"/>
  <c r="O75" i="1"/>
  <c r="O234" i="1"/>
  <c r="O253" i="1"/>
  <c r="O276" i="1"/>
  <c r="O239" i="1"/>
  <c r="O204" i="1"/>
  <c r="O60" i="1"/>
  <c r="O32" i="1"/>
  <c r="O90" i="1"/>
  <c r="O110" i="1"/>
  <c r="O213" i="1"/>
  <c r="O124" i="1"/>
  <c r="O142" i="1"/>
  <c r="O97" i="1"/>
  <c r="O170" i="1"/>
  <c r="O279" i="1"/>
  <c r="O87" i="1"/>
  <c r="O269" i="1"/>
  <c r="O53" i="1"/>
  <c r="O55" i="1"/>
  <c r="O219" i="1"/>
  <c r="O181" i="1"/>
  <c r="O107" i="1"/>
  <c r="O125" i="1"/>
  <c r="O281" i="1"/>
  <c r="O47" i="1"/>
  <c r="O156" i="1"/>
  <c r="O200" i="1"/>
  <c r="O4" i="1"/>
  <c r="O128" i="1"/>
  <c r="O173" i="1"/>
  <c r="O280" i="1"/>
  <c r="O101" i="1"/>
  <c r="O203" i="1"/>
  <c r="O264" i="1"/>
  <c r="O126" i="1"/>
  <c r="O187" i="1"/>
  <c r="O247" i="1"/>
  <c r="O9" i="1"/>
  <c r="O98" i="1"/>
  <c r="O157" i="1"/>
  <c r="O174" i="1"/>
  <c r="O28" i="1"/>
  <c r="O190" i="1"/>
  <c r="O268" i="1"/>
  <c r="O89" i="1"/>
  <c r="O169" i="1"/>
  <c r="O248" i="1"/>
  <c r="O122" i="1"/>
  <c r="O14" i="1"/>
  <c r="O63" i="1"/>
  <c r="O267" i="1"/>
  <c r="O223" i="1"/>
  <c r="O261" i="1"/>
  <c r="O207" i="1"/>
  <c r="O266" i="1"/>
  <c r="O139" i="1"/>
  <c r="O13" i="1"/>
  <c r="O103" i="1"/>
  <c r="O265" i="1"/>
  <c r="O245" i="1"/>
  <c r="O58" i="1"/>
  <c r="O171" i="1"/>
  <c r="O104" i="1"/>
  <c r="O59" i="1"/>
  <c r="O40" i="1"/>
  <c r="O206" i="1"/>
  <c r="O196" i="1"/>
  <c r="O116" i="1"/>
  <c r="O226" i="1"/>
  <c r="O30" i="1"/>
  <c r="O23" i="1"/>
  <c r="O24" i="1"/>
  <c r="O155" i="1"/>
  <c r="O48" i="1"/>
  <c r="O93" i="1"/>
  <c r="O183" i="1"/>
  <c r="O114" i="1"/>
  <c r="O54" i="1"/>
  <c r="O140" i="1"/>
  <c r="O146" i="1"/>
  <c r="O41" i="1"/>
  <c r="O61" i="1"/>
  <c r="O153" i="1"/>
  <c r="O26" i="1"/>
  <c r="O221" i="1"/>
  <c r="O15" i="1"/>
  <c r="O135" i="1"/>
  <c r="O220" i="1"/>
  <c r="O262" i="1"/>
  <c r="O39" i="1"/>
  <c r="O250" i="1"/>
  <c r="O199" i="1"/>
  <c r="O64" i="1"/>
  <c r="O282" i="1"/>
  <c r="O62" i="1"/>
  <c r="O246" i="1"/>
  <c r="O198" i="1"/>
  <c r="O134" i="1"/>
  <c r="O76" i="1"/>
  <c r="O27" i="1"/>
  <c r="O136" i="1"/>
  <c r="O105" i="1"/>
  <c r="O119" i="1"/>
  <c r="O186" i="1"/>
  <c r="O45" i="1"/>
  <c r="O112" i="1"/>
  <c r="O151" i="1"/>
  <c r="O278" i="1"/>
  <c r="O277" i="1"/>
  <c r="O189" i="1"/>
  <c r="O143" i="1"/>
  <c r="O172" i="1"/>
  <c r="O29" i="1"/>
  <c r="O230" i="1"/>
  <c r="O188" i="1"/>
  <c r="O6" i="1"/>
  <c r="O263" i="1"/>
  <c r="O205" i="1"/>
  <c r="O5" i="1"/>
  <c r="O257" i="1"/>
  <c r="O184" i="1"/>
  <c r="O238" i="1"/>
  <c r="O237" i="1"/>
  <c r="O224" i="1"/>
  <c r="O217" i="1"/>
  <c r="O197" i="1"/>
  <c r="O127" i="1"/>
  <c r="O191" i="1"/>
  <c r="O175" i="1"/>
  <c r="O152" i="1"/>
  <c r="O69" i="1"/>
  <c r="O106" i="1"/>
  <c r="O144" i="1"/>
  <c r="O77" i="1"/>
  <c r="O70" i="1"/>
  <c r="O38" i="1"/>
  <c r="O141" i="1"/>
  <c r="O100" i="1"/>
  <c r="O71" i="1"/>
  <c r="O145" i="1"/>
  <c r="O117" i="1"/>
  <c r="O79" i="1"/>
  <c r="O78" i="1"/>
  <c r="O72" i="1"/>
  <c r="O148" i="1"/>
  <c r="O193" i="1"/>
  <c r="O231" i="1"/>
  <c r="P92" i="1" l="1"/>
  <c r="Q92" i="1"/>
  <c r="P221" i="1"/>
  <c r="Q221" i="1"/>
  <c r="P272" i="1"/>
  <c r="Q272" i="1"/>
  <c r="P106" i="1"/>
  <c r="Q106" i="1"/>
  <c r="P6" i="1"/>
  <c r="Q6" i="1"/>
  <c r="P27" i="1"/>
  <c r="Q27" i="1"/>
  <c r="P26" i="1"/>
  <c r="Q26" i="1"/>
  <c r="P116" i="1"/>
  <c r="Q116" i="1"/>
  <c r="P223" i="1"/>
  <c r="Q223" i="1"/>
  <c r="P187" i="1"/>
  <c r="Q187" i="1"/>
  <c r="P219" i="1"/>
  <c r="Q219" i="1"/>
  <c r="P239" i="1"/>
  <c r="Q239" i="1"/>
  <c r="P120" i="1"/>
  <c r="Q120" i="1"/>
  <c r="P10" i="1"/>
  <c r="Q10" i="1"/>
  <c r="P158" i="1"/>
  <c r="Q158" i="1"/>
  <c r="P235" i="1"/>
  <c r="Q235" i="1"/>
  <c r="P218" i="1"/>
  <c r="Q218" i="1"/>
  <c r="P136" i="1"/>
  <c r="Q136" i="1"/>
  <c r="P247" i="1"/>
  <c r="Q247" i="1"/>
  <c r="P37" i="1"/>
  <c r="Q37" i="1"/>
  <c r="P231" i="1"/>
  <c r="Q231" i="1"/>
  <c r="P69" i="1"/>
  <c r="Q69" i="1"/>
  <c r="P188" i="1"/>
  <c r="Q188" i="1"/>
  <c r="P76" i="1"/>
  <c r="Q76" i="1"/>
  <c r="P153" i="1"/>
  <c r="Q153" i="1"/>
  <c r="P196" i="1"/>
  <c r="Q196" i="1"/>
  <c r="P267" i="1"/>
  <c r="Q267" i="1"/>
  <c r="P126" i="1"/>
  <c r="Q126" i="1"/>
  <c r="P55" i="1"/>
  <c r="Q55" i="1"/>
  <c r="P276" i="1"/>
  <c r="Q276" i="1"/>
  <c r="P16" i="1"/>
  <c r="Q16" i="1"/>
  <c r="P91" i="1"/>
  <c r="Q91" i="1"/>
  <c r="P271" i="1"/>
  <c r="Q271" i="1"/>
  <c r="P111" i="1"/>
  <c r="Q111" i="1"/>
  <c r="P42" i="1"/>
  <c r="Q42" i="1"/>
  <c r="P270" i="1"/>
  <c r="Q270" i="1"/>
  <c r="P134" i="1"/>
  <c r="Q134" i="1"/>
  <c r="P264" i="1"/>
  <c r="Q264" i="1"/>
  <c r="P53" i="1"/>
  <c r="Q53" i="1"/>
  <c r="P29" i="1"/>
  <c r="Q29" i="1"/>
  <c r="P198" i="1"/>
  <c r="Q198" i="1"/>
  <c r="P41" i="1"/>
  <c r="Q41" i="1"/>
  <c r="P40" i="1"/>
  <c r="Q40" i="1"/>
  <c r="P14" i="1"/>
  <c r="Q14" i="1"/>
  <c r="P203" i="1"/>
  <c r="Q203" i="1"/>
  <c r="P269" i="1"/>
  <c r="Q269" i="1"/>
  <c r="P234" i="1"/>
  <c r="Q234" i="1"/>
  <c r="P12" i="1"/>
  <c r="Q12" i="1"/>
  <c r="P154" i="1"/>
  <c r="Q154" i="1"/>
  <c r="P57" i="1"/>
  <c r="Q57" i="1"/>
  <c r="P121" i="1"/>
  <c r="Q121" i="1"/>
  <c r="P201" i="1"/>
  <c r="Q201" i="1"/>
  <c r="P108" i="1"/>
  <c r="Q108" i="1"/>
  <c r="P230" i="1"/>
  <c r="Q230" i="1"/>
  <c r="P63" i="1"/>
  <c r="Q63" i="1"/>
  <c r="P137" i="1"/>
  <c r="Q137" i="1"/>
  <c r="P148" i="1"/>
  <c r="Q148" i="1"/>
  <c r="P72" i="1"/>
  <c r="Q72" i="1"/>
  <c r="P191" i="1"/>
  <c r="Q191" i="1"/>
  <c r="P172" i="1"/>
  <c r="Q172" i="1"/>
  <c r="P246" i="1"/>
  <c r="Q246" i="1"/>
  <c r="P146" i="1"/>
  <c r="Q146" i="1"/>
  <c r="P59" i="1"/>
  <c r="Q59" i="1"/>
  <c r="P122" i="1"/>
  <c r="Q122" i="1"/>
  <c r="P101" i="1"/>
  <c r="Q101" i="1"/>
  <c r="P87" i="1"/>
  <c r="Q87" i="1"/>
  <c r="P75" i="1"/>
  <c r="Q75" i="1"/>
  <c r="P86" i="1"/>
  <c r="Q86" i="1"/>
  <c r="P256" i="1"/>
  <c r="Q256" i="1"/>
  <c r="P74" i="1"/>
  <c r="Q74" i="1"/>
  <c r="P164" i="1"/>
  <c r="Q164" i="1"/>
  <c r="P194" i="1"/>
  <c r="Q194" i="1"/>
  <c r="P263" i="1"/>
  <c r="Q263" i="1"/>
  <c r="P165" i="1"/>
  <c r="Q165" i="1"/>
  <c r="P175" i="1"/>
  <c r="Q175" i="1"/>
  <c r="P78" i="1"/>
  <c r="Q78" i="1"/>
  <c r="P127" i="1"/>
  <c r="Q127" i="1"/>
  <c r="P143" i="1"/>
  <c r="Q143" i="1"/>
  <c r="P62" i="1"/>
  <c r="Q62" i="1"/>
  <c r="P140" i="1"/>
  <c r="Q140" i="1"/>
  <c r="P104" i="1"/>
  <c r="Q104" i="1"/>
  <c r="P248" i="1"/>
  <c r="Q248" i="1"/>
  <c r="P280" i="1"/>
  <c r="Q280" i="1"/>
  <c r="P279" i="1"/>
  <c r="Q279" i="1"/>
  <c r="P8" i="1"/>
  <c r="Q8" i="1"/>
  <c r="P99" i="1"/>
  <c r="Q99" i="1"/>
  <c r="P228" i="1"/>
  <c r="Q228" i="1"/>
  <c r="P254" i="1"/>
  <c r="Q254" i="1"/>
  <c r="P11" i="1"/>
  <c r="Q11" i="1"/>
  <c r="P34" i="1"/>
  <c r="Q34" i="1"/>
  <c r="P80" i="1"/>
  <c r="Q80" i="1"/>
  <c r="P206" i="1"/>
  <c r="Q206" i="1"/>
  <c r="P168" i="1"/>
  <c r="Q168" i="1"/>
  <c r="P79" i="1"/>
  <c r="Q79" i="1"/>
  <c r="P197" i="1"/>
  <c r="Q197" i="1"/>
  <c r="P189" i="1"/>
  <c r="Q189" i="1"/>
  <c r="P282" i="1"/>
  <c r="Q282" i="1"/>
  <c r="P54" i="1"/>
  <c r="Q54" i="1"/>
  <c r="P171" i="1"/>
  <c r="Q171" i="1"/>
  <c r="P169" i="1"/>
  <c r="Q169" i="1"/>
  <c r="P173" i="1"/>
  <c r="Q173" i="1"/>
  <c r="P170" i="1"/>
  <c r="Q170" i="1"/>
  <c r="P236" i="1"/>
  <c r="Q236" i="1"/>
  <c r="P52" i="1"/>
  <c r="Q52" i="1"/>
  <c r="P232" i="1"/>
  <c r="Q232" i="1"/>
  <c r="P150" i="1"/>
  <c r="Q150" i="1"/>
  <c r="P192" i="1"/>
  <c r="Q192" i="1"/>
  <c r="P212" i="1"/>
  <c r="Q212" i="1"/>
  <c r="P226" i="1"/>
  <c r="Q226" i="1"/>
  <c r="P61" i="1"/>
  <c r="Q61" i="1"/>
  <c r="P117" i="1"/>
  <c r="Q117" i="1"/>
  <c r="P217" i="1"/>
  <c r="Q217" i="1"/>
  <c r="P277" i="1"/>
  <c r="Q277" i="1"/>
  <c r="P64" i="1"/>
  <c r="Q64" i="1"/>
  <c r="P114" i="1"/>
  <c r="Q114" i="1"/>
  <c r="P58" i="1"/>
  <c r="Q58" i="1"/>
  <c r="P89" i="1"/>
  <c r="Q89" i="1"/>
  <c r="P128" i="1"/>
  <c r="Q128" i="1"/>
  <c r="P97" i="1"/>
  <c r="Q97" i="1"/>
  <c r="P159" i="1"/>
  <c r="Q159" i="1"/>
  <c r="P222" i="1"/>
  <c r="Q222" i="1"/>
  <c r="P22" i="1"/>
  <c r="Q22" i="1"/>
  <c r="P85" i="1"/>
  <c r="Q85" i="1"/>
  <c r="P208" i="1"/>
  <c r="Q208" i="1"/>
  <c r="P133" i="1"/>
  <c r="Q133" i="1"/>
  <c r="P102" i="1"/>
  <c r="Q102" i="1"/>
  <c r="P145" i="1"/>
  <c r="Q145" i="1"/>
  <c r="P224" i="1"/>
  <c r="Q224" i="1"/>
  <c r="P278" i="1"/>
  <c r="Q278" i="1"/>
  <c r="P199" i="1"/>
  <c r="Q199" i="1"/>
  <c r="P183" i="1"/>
  <c r="Q183" i="1"/>
  <c r="P245" i="1"/>
  <c r="Q245" i="1"/>
  <c r="P268" i="1"/>
  <c r="Q268" i="1"/>
  <c r="P4" i="1"/>
  <c r="Q4" i="1"/>
  <c r="P142" i="1"/>
  <c r="Q142" i="1"/>
  <c r="P233" i="1"/>
  <c r="Q233" i="1"/>
  <c r="P149" i="1"/>
  <c r="Q149" i="1"/>
  <c r="P283" i="1"/>
  <c r="Q283" i="1"/>
  <c r="P252" i="1"/>
  <c r="Q252" i="1"/>
  <c r="P49" i="1"/>
  <c r="Q49" i="1"/>
  <c r="P71" i="1"/>
  <c r="Q71" i="1"/>
  <c r="P237" i="1"/>
  <c r="Q237" i="1"/>
  <c r="P151" i="1"/>
  <c r="Q151" i="1"/>
  <c r="P250" i="1"/>
  <c r="Q250" i="1"/>
  <c r="P93" i="1"/>
  <c r="Q93" i="1"/>
  <c r="P265" i="1"/>
  <c r="Q265" i="1"/>
  <c r="P190" i="1"/>
  <c r="Q190" i="1"/>
  <c r="P200" i="1"/>
  <c r="Q200" i="1"/>
  <c r="P124" i="1"/>
  <c r="Q124" i="1"/>
  <c r="P51" i="1"/>
  <c r="Q51" i="1"/>
  <c r="P251" i="1"/>
  <c r="Q251" i="1"/>
  <c r="P44" i="1"/>
  <c r="Q44" i="1"/>
  <c r="P129" i="1"/>
  <c r="Q129" i="1"/>
  <c r="P88" i="1"/>
  <c r="Q88" i="1"/>
  <c r="P138" i="1"/>
  <c r="Q138" i="1"/>
  <c r="P261" i="1"/>
  <c r="Q261" i="1"/>
  <c r="P50" i="1"/>
  <c r="Q50" i="1"/>
  <c r="P100" i="1"/>
  <c r="Q100" i="1"/>
  <c r="P238" i="1"/>
  <c r="Q238" i="1"/>
  <c r="P112" i="1"/>
  <c r="Q112" i="1"/>
  <c r="P39" i="1"/>
  <c r="Q39" i="1"/>
  <c r="P48" i="1"/>
  <c r="Q48" i="1"/>
  <c r="P103" i="1"/>
  <c r="Q103" i="1"/>
  <c r="P28" i="1"/>
  <c r="Q28" i="1"/>
  <c r="P156" i="1"/>
  <c r="Q156" i="1"/>
  <c r="P213" i="1"/>
  <c r="Q213" i="1"/>
  <c r="P274" i="1"/>
  <c r="Q274" i="1"/>
  <c r="P109" i="1"/>
  <c r="Q109" i="1"/>
  <c r="P123" i="1"/>
  <c r="Q123" i="1"/>
  <c r="P46" i="1"/>
  <c r="Q46" i="1"/>
  <c r="P215" i="1"/>
  <c r="Q215" i="1"/>
  <c r="P225" i="1"/>
  <c r="Q225" i="1"/>
  <c r="P275" i="1"/>
  <c r="Q275" i="1"/>
  <c r="P43" i="1"/>
  <c r="Q43" i="1"/>
  <c r="P204" i="1"/>
  <c r="Q204" i="1"/>
  <c r="P152" i="1"/>
  <c r="Q152" i="1"/>
  <c r="P113" i="1"/>
  <c r="Q113" i="1"/>
  <c r="P141" i="1"/>
  <c r="Q141" i="1"/>
  <c r="P184" i="1"/>
  <c r="Q184" i="1"/>
  <c r="P45" i="1"/>
  <c r="Q45" i="1"/>
  <c r="P262" i="1"/>
  <c r="Q262" i="1"/>
  <c r="P155" i="1"/>
  <c r="Q155" i="1"/>
  <c r="P13" i="1"/>
  <c r="Q13" i="1"/>
  <c r="P174" i="1"/>
  <c r="Q174" i="1"/>
  <c r="P47" i="1"/>
  <c r="Q47" i="1"/>
  <c r="P110" i="1"/>
  <c r="Q110" i="1"/>
  <c r="P167" i="1"/>
  <c r="Q167" i="1"/>
  <c r="P84" i="1"/>
  <c r="Q84" i="1"/>
  <c r="P249" i="1"/>
  <c r="Q249" i="1"/>
  <c r="P21" i="1"/>
  <c r="Q21" i="1"/>
  <c r="P132" i="1"/>
  <c r="Q132" i="1"/>
  <c r="P38" i="1"/>
  <c r="Q38" i="1"/>
  <c r="P257" i="1"/>
  <c r="Q257" i="1"/>
  <c r="P186" i="1"/>
  <c r="Q186" i="1"/>
  <c r="P220" i="1"/>
  <c r="Q220" i="1"/>
  <c r="P24" i="1"/>
  <c r="Q24" i="1"/>
  <c r="P139" i="1"/>
  <c r="Q139" i="1"/>
  <c r="P157" i="1"/>
  <c r="Q157" i="1"/>
  <c r="P281" i="1"/>
  <c r="Q281" i="1"/>
  <c r="P90" i="1"/>
  <c r="Q90" i="1"/>
  <c r="P31" i="1"/>
  <c r="Q31" i="1"/>
  <c r="P185" i="1"/>
  <c r="Q185" i="1"/>
  <c r="P229" i="1"/>
  <c r="Q229" i="1"/>
  <c r="P216" i="1"/>
  <c r="Q216" i="1"/>
  <c r="P73" i="1"/>
  <c r="Q73" i="1"/>
  <c r="P144" i="1"/>
  <c r="Q144" i="1"/>
  <c r="P70" i="1"/>
  <c r="Q70" i="1"/>
  <c r="P5" i="1"/>
  <c r="Q5" i="1"/>
  <c r="P119" i="1"/>
  <c r="Q119" i="1"/>
  <c r="P135" i="1"/>
  <c r="Q135" i="1"/>
  <c r="P23" i="1"/>
  <c r="Q23" i="1"/>
  <c r="P266" i="1"/>
  <c r="Q266" i="1"/>
  <c r="P98" i="1"/>
  <c r="Q98" i="1"/>
  <c r="P125" i="1"/>
  <c r="Q125" i="1"/>
  <c r="P32" i="1"/>
  <c r="Q32" i="1"/>
  <c r="P25" i="1"/>
  <c r="Q25" i="1"/>
  <c r="P202" i="1"/>
  <c r="Q202" i="1"/>
  <c r="P94" i="1"/>
  <c r="Q94" i="1"/>
  <c r="P96" i="1"/>
  <c r="Q96" i="1"/>
  <c r="P118" i="1"/>
  <c r="Q118" i="1"/>
  <c r="P181" i="1"/>
  <c r="Q181" i="1"/>
  <c r="P193" i="1"/>
  <c r="Q193" i="1"/>
  <c r="P253" i="1"/>
  <c r="Q253" i="1"/>
  <c r="P77" i="1"/>
  <c r="Q77" i="1"/>
  <c r="P205" i="1"/>
  <c r="Q205" i="1"/>
  <c r="P105" i="1"/>
  <c r="Q105" i="1"/>
  <c r="P15" i="1"/>
  <c r="Q15" i="1"/>
  <c r="P30" i="1"/>
  <c r="Q30" i="1"/>
  <c r="P207" i="1"/>
  <c r="Q207" i="1"/>
  <c r="P9" i="1"/>
  <c r="Q9" i="1"/>
  <c r="P107" i="1"/>
  <c r="Q107" i="1"/>
  <c r="P60" i="1"/>
  <c r="Q60" i="1"/>
  <c r="P7" i="1"/>
  <c r="Q7" i="1"/>
  <c r="P166" i="1"/>
  <c r="Q166" i="1"/>
  <c r="P255" i="1"/>
  <c r="Q255" i="1"/>
  <c r="P56" i="1"/>
  <c r="Q56" i="1"/>
  <c r="P214" i="1"/>
  <c r="Q214" i="1"/>
  <c r="R7" i="1" l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247" i="1"/>
  <c r="R263" i="1"/>
  <c r="R279" i="1"/>
  <c r="R43" i="1"/>
  <c r="R75" i="1"/>
  <c r="R107" i="1"/>
  <c r="R139" i="1"/>
  <c r="R171" i="1"/>
  <c r="R203" i="1"/>
  <c r="R235" i="1"/>
  <c r="R251" i="1"/>
  <c r="R283" i="1"/>
  <c r="R27" i="1"/>
  <c r="R59" i="1"/>
  <c r="R91" i="1"/>
  <c r="R123" i="1"/>
  <c r="R155" i="1"/>
  <c r="R187" i="1"/>
  <c r="R219" i="1"/>
  <c r="R267" i="1"/>
  <c r="R11" i="1"/>
  <c r="R191" i="1"/>
  <c r="R255" i="1"/>
  <c r="R223" i="1"/>
  <c r="R271" i="1"/>
  <c r="R159" i="1"/>
  <c r="R15" i="1"/>
  <c r="R31" i="1"/>
  <c r="R47" i="1"/>
  <c r="R63" i="1"/>
  <c r="R79" i="1"/>
  <c r="R95" i="1"/>
  <c r="R111" i="1"/>
  <c r="R127" i="1"/>
  <c r="R143" i="1"/>
  <c r="R175" i="1"/>
  <c r="R207" i="1"/>
  <c r="R239" i="1"/>
  <c r="R3" i="1"/>
  <c r="R19" i="1"/>
  <c r="R35" i="1"/>
  <c r="R51" i="1"/>
  <c r="R67" i="1"/>
  <c r="R83" i="1"/>
  <c r="R99" i="1"/>
  <c r="R115" i="1"/>
  <c r="R131" i="1"/>
  <c r="R147" i="1"/>
  <c r="R163" i="1"/>
  <c r="R179" i="1"/>
  <c r="R195" i="1"/>
  <c r="R211" i="1"/>
  <c r="R227" i="1"/>
  <c r="R243" i="1"/>
  <c r="R259" i="1"/>
  <c r="R275" i="1"/>
  <c r="R9" i="1"/>
  <c r="R25" i="1"/>
  <c r="R41" i="1"/>
  <c r="R57" i="1"/>
  <c r="R73" i="1"/>
  <c r="R89" i="1"/>
  <c r="R105" i="1"/>
  <c r="R121" i="1"/>
  <c r="R137" i="1"/>
  <c r="R153" i="1"/>
  <c r="R169" i="1"/>
  <c r="R185" i="1"/>
  <c r="R201" i="1"/>
  <c r="R217" i="1"/>
  <c r="R233" i="1"/>
  <c r="R249" i="1"/>
  <c r="R265" i="1"/>
  <c r="R281" i="1"/>
  <c r="R13" i="1"/>
  <c r="R29" i="1"/>
  <c r="R45" i="1"/>
  <c r="R61" i="1"/>
  <c r="R77" i="1"/>
  <c r="R93" i="1"/>
  <c r="R109" i="1"/>
  <c r="R125" i="1"/>
  <c r="R141" i="1"/>
  <c r="R157" i="1"/>
  <c r="R173" i="1"/>
  <c r="R189" i="1"/>
  <c r="R205" i="1"/>
  <c r="R221" i="1"/>
  <c r="R237" i="1"/>
  <c r="R253" i="1"/>
  <c r="R269" i="1"/>
  <c r="R285" i="1"/>
  <c r="R101" i="1"/>
  <c r="R165" i="1"/>
  <c r="R213" i="1"/>
  <c r="R261" i="1"/>
  <c r="R17" i="1"/>
  <c r="R33" i="1"/>
  <c r="R49" i="1"/>
  <c r="R65" i="1"/>
  <c r="R81" i="1"/>
  <c r="R97" i="1"/>
  <c r="R113" i="1"/>
  <c r="R129" i="1"/>
  <c r="R145" i="1"/>
  <c r="R161" i="1"/>
  <c r="R177" i="1"/>
  <c r="R193" i="1"/>
  <c r="R209" i="1"/>
  <c r="R225" i="1"/>
  <c r="R241" i="1"/>
  <c r="R257" i="1"/>
  <c r="R273" i="1"/>
  <c r="R53" i="1"/>
  <c r="R149" i="1"/>
  <c r="R37" i="1"/>
  <c r="R85" i="1"/>
  <c r="R117" i="1"/>
  <c r="R197" i="1"/>
  <c r="R245" i="1"/>
  <c r="R21" i="1"/>
  <c r="R69" i="1"/>
  <c r="R133" i="1"/>
  <c r="R181" i="1"/>
  <c r="R229" i="1"/>
  <c r="R277" i="1"/>
  <c r="R5" i="1"/>
  <c r="R40" i="1"/>
  <c r="R72" i="1"/>
  <c r="R104" i="1"/>
  <c r="R120" i="1"/>
  <c r="R152" i="1"/>
  <c r="R184" i="1"/>
  <c r="R216" i="1"/>
  <c r="R248" i="1"/>
  <c r="R280" i="1"/>
  <c r="R24" i="1"/>
  <c r="R56" i="1"/>
  <c r="R88" i="1"/>
  <c r="R136" i="1"/>
  <c r="R168" i="1"/>
  <c r="R200" i="1"/>
  <c r="R232" i="1"/>
  <c r="R264" i="1"/>
  <c r="R8" i="1"/>
  <c r="R12" i="1"/>
  <c r="R28" i="1"/>
  <c r="R44" i="1"/>
  <c r="R60" i="1"/>
  <c r="R76" i="1"/>
  <c r="R92" i="1"/>
  <c r="R108" i="1"/>
  <c r="R124" i="1"/>
  <c r="R140" i="1"/>
  <c r="R156" i="1"/>
  <c r="R172" i="1"/>
  <c r="R188" i="1"/>
  <c r="R204" i="1"/>
  <c r="R220" i="1"/>
  <c r="R236" i="1"/>
  <c r="R252" i="1"/>
  <c r="R268" i="1"/>
  <c r="R284" i="1"/>
  <c r="R16" i="1"/>
  <c r="R32" i="1"/>
  <c r="R48" i="1"/>
  <c r="R64" i="1"/>
  <c r="R80" i="1"/>
  <c r="R96" i="1"/>
  <c r="R112" i="1"/>
  <c r="R128" i="1"/>
  <c r="R144" i="1"/>
  <c r="R160" i="1"/>
  <c r="R176" i="1"/>
  <c r="R192" i="1"/>
  <c r="R208" i="1"/>
  <c r="R224" i="1"/>
  <c r="R240" i="1"/>
  <c r="R256" i="1"/>
  <c r="R272" i="1"/>
  <c r="R4" i="1"/>
  <c r="R20" i="1"/>
  <c r="R36" i="1"/>
  <c r="R52" i="1"/>
  <c r="R68" i="1"/>
  <c r="R84" i="1"/>
  <c r="R100" i="1"/>
  <c r="R116" i="1"/>
  <c r="R132" i="1"/>
  <c r="R148" i="1"/>
  <c r="R164" i="1"/>
  <c r="R180" i="1"/>
  <c r="R196" i="1"/>
  <c r="R212" i="1"/>
  <c r="R228" i="1"/>
  <c r="R244" i="1"/>
  <c r="R260" i="1"/>
  <c r="R276" i="1"/>
  <c r="R6" i="1"/>
  <c r="R22" i="1"/>
  <c r="R38" i="1"/>
  <c r="R54" i="1"/>
  <c r="R70" i="1"/>
  <c r="R86" i="1"/>
  <c r="R102" i="1"/>
  <c r="R118" i="1"/>
  <c r="R134" i="1"/>
  <c r="R150" i="1"/>
  <c r="R166" i="1"/>
  <c r="R182" i="1"/>
  <c r="R198" i="1"/>
  <c r="R214" i="1"/>
  <c r="R230" i="1"/>
  <c r="R246" i="1"/>
  <c r="R262" i="1"/>
  <c r="R278" i="1"/>
  <c r="R10" i="1"/>
  <c r="R26" i="1"/>
  <c r="R42" i="1"/>
  <c r="R58" i="1"/>
  <c r="R74" i="1"/>
  <c r="R90" i="1"/>
  <c r="R106" i="1"/>
  <c r="R122" i="1"/>
  <c r="R138" i="1"/>
  <c r="R154" i="1"/>
  <c r="R170" i="1"/>
  <c r="R186" i="1"/>
  <c r="R202" i="1"/>
  <c r="R218" i="1"/>
  <c r="R234" i="1"/>
  <c r="R250" i="1"/>
  <c r="R266" i="1"/>
  <c r="R282" i="1"/>
  <c r="R14" i="1"/>
  <c r="R30" i="1"/>
  <c r="R46" i="1"/>
  <c r="R62" i="1"/>
  <c r="R78" i="1"/>
  <c r="R94" i="1"/>
  <c r="R110" i="1"/>
  <c r="R126" i="1"/>
  <c r="R142" i="1"/>
  <c r="R158" i="1"/>
  <c r="R174" i="1"/>
  <c r="R190" i="1"/>
  <c r="R206" i="1"/>
  <c r="R222" i="1"/>
  <c r="R238" i="1"/>
  <c r="R254" i="1"/>
  <c r="R270" i="1"/>
  <c r="R2" i="1"/>
  <c r="R18" i="1"/>
  <c r="R34" i="1"/>
  <c r="R50" i="1"/>
  <c r="R66" i="1"/>
  <c r="R82" i="1"/>
  <c r="R98" i="1"/>
  <c r="R114" i="1"/>
  <c r="R130" i="1"/>
  <c r="R146" i="1"/>
  <c r="R162" i="1"/>
  <c r="R178" i="1"/>
  <c r="R194" i="1"/>
  <c r="R210" i="1"/>
  <c r="R226" i="1"/>
  <c r="R242" i="1"/>
  <c r="R258" i="1"/>
  <c r="R274" i="1"/>
  <c r="S250" i="1" l="1"/>
  <c r="S22" i="1"/>
  <c r="S52" i="1"/>
  <c r="S80" i="1"/>
  <c r="S108" i="1"/>
  <c r="S280" i="1"/>
  <c r="S245" i="1"/>
  <c r="S278" i="1"/>
  <c r="S222" i="1"/>
  <c r="S194" i="1"/>
  <c r="S7" i="1"/>
  <c r="S158" i="1"/>
  <c r="S157" i="1"/>
  <c r="S104" i="1"/>
  <c r="S127" i="1"/>
  <c r="S187" i="1"/>
  <c r="S82" i="1"/>
  <c r="S110" i="1"/>
  <c r="S138" i="1"/>
  <c r="S166" i="1"/>
  <c r="S196" i="1"/>
  <c r="S224" i="1"/>
  <c r="S252" i="1"/>
  <c r="S8" i="1"/>
  <c r="S72" i="1"/>
  <c r="S273" i="1"/>
  <c r="S17" i="1"/>
  <c r="S109" i="1"/>
  <c r="S137" i="1"/>
  <c r="S163" i="1"/>
  <c r="S111" i="1"/>
  <c r="S155" i="1"/>
  <c r="S247" i="1"/>
  <c r="S186" i="1"/>
  <c r="S154" i="1"/>
  <c r="S179" i="1"/>
  <c r="S263" i="1"/>
  <c r="S66" i="1"/>
  <c r="S94" i="1"/>
  <c r="S122" i="1"/>
  <c r="S150" i="1"/>
  <c r="S180" i="1"/>
  <c r="S208" i="1"/>
  <c r="S236" i="1"/>
  <c r="S264" i="1"/>
  <c r="S40" i="1"/>
  <c r="S257" i="1"/>
  <c r="S261" i="1"/>
  <c r="S93" i="1"/>
  <c r="S121" i="1"/>
  <c r="S147" i="1"/>
  <c r="S95" i="1"/>
  <c r="S123" i="1"/>
  <c r="S231" i="1"/>
  <c r="S130" i="1"/>
  <c r="S212" i="1"/>
  <c r="S153" i="1"/>
  <c r="S78" i="1"/>
  <c r="S134" i="1"/>
  <c r="S164" i="1"/>
  <c r="S192" i="1"/>
  <c r="S220" i="1"/>
  <c r="S232" i="1"/>
  <c r="S5" i="1"/>
  <c r="S241" i="1"/>
  <c r="S213" i="1"/>
  <c r="S77" i="1"/>
  <c r="S105" i="1"/>
  <c r="S131" i="1"/>
  <c r="S79" i="1"/>
  <c r="S91" i="1"/>
  <c r="S215" i="1"/>
  <c r="S146" i="1"/>
  <c r="S65" i="1"/>
  <c r="S268" i="1"/>
  <c r="S125" i="1"/>
  <c r="S50" i="1"/>
  <c r="S106" i="1"/>
  <c r="S34" i="1"/>
  <c r="S62" i="1"/>
  <c r="S90" i="1"/>
  <c r="S118" i="1"/>
  <c r="S148" i="1"/>
  <c r="S176" i="1"/>
  <c r="S204" i="1"/>
  <c r="S200" i="1"/>
  <c r="S277" i="1"/>
  <c r="S225" i="1"/>
  <c r="S165" i="1"/>
  <c r="S61" i="1"/>
  <c r="S89" i="1"/>
  <c r="S115" i="1"/>
  <c r="S63" i="1"/>
  <c r="S59" i="1"/>
  <c r="S199" i="1"/>
  <c r="S272" i="1"/>
  <c r="S98" i="1"/>
  <c r="S33" i="1"/>
  <c r="S274" i="1"/>
  <c r="S18" i="1"/>
  <c r="S46" i="1"/>
  <c r="S74" i="1"/>
  <c r="S102" i="1"/>
  <c r="S132" i="1"/>
  <c r="S160" i="1"/>
  <c r="S188" i="1"/>
  <c r="S168" i="1"/>
  <c r="S229" i="1"/>
  <c r="S209" i="1"/>
  <c r="S101" i="1"/>
  <c r="S45" i="1"/>
  <c r="S73" i="1"/>
  <c r="S99" i="1"/>
  <c r="S47" i="1"/>
  <c r="S27" i="1"/>
  <c r="S183" i="1"/>
  <c r="S44" i="1"/>
  <c r="S12" i="1"/>
  <c r="S2" i="1"/>
  <c r="S58" i="1"/>
  <c r="S86" i="1"/>
  <c r="S116" i="1"/>
  <c r="S144" i="1"/>
  <c r="S172" i="1"/>
  <c r="S136" i="1"/>
  <c r="S181" i="1"/>
  <c r="S193" i="1"/>
  <c r="S285" i="1"/>
  <c r="S29" i="1"/>
  <c r="S57" i="1"/>
  <c r="S83" i="1"/>
  <c r="S31" i="1"/>
  <c r="S283" i="1"/>
  <c r="S167" i="1"/>
  <c r="S129" i="1"/>
  <c r="S37" i="1"/>
  <c r="S182" i="1"/>
  <c r="S53" i="1"/>
  <c r="S258" i="1"/>
  <c r="S30" i="1"/>
  <c r="S242" i="1"/>
  <c r="S270" i="1"/>
  <c r="S14" i="1"/>
  <c r="S42" i="1"/>
  <c r="S70" i="1"/>
  <c r="S100" i="1"/>
  <c r="S128" i="1"/>
  <c r="S156" i="1"/>
  <c r="S88" i="1"/>
  <c r="S133" i="1"/>
  <c r="S177" i="1"/>
  <c r="S269" i="1"/>
  <c r="S13" i="1"/>
  <c r="S41" i="1"/>
  <c r="S67" i="1"/>
  <c r="S15" i="1"/>
  <c r="S251" i="1"/>
  <c r="S151" i="1"/>
  <c r="S244" i="1"/>
  <c r="S240" i="1"/>
  <c r="S254" i="1"/>
  <c r="S26" i="1"/>
  <c r="S54" i="1"/>
  <c r="S84" i="1"/>
  <c r="S112" i="1"/>
  <c r="S140" i="1"/>
  <c r="S56" i="1"/>
  <c r="S69" i="1"/>
  <c r="S161" i="1"/>
  <c r="S253" i="1"/>
  <c r="S281" i="1"/>
  <c r="S25" i="1"/>
  <c r="S51" i="1"/>
  <c r="S159" i="1"/>
  <c r="S235" i="1"/>
  <c r="S135" i="1"/>
  <c r="S16" i="1"/>
  <c r="S126" i="1"/>
  <c r="S226" i="1"/>
  <c r="S282" i="1"/>
  <c r="S210" i="1"/>
  <c r="S238" i="1"/>
  <c r="S266" i="1"/>
  <c r="S10" i="1"/>
  <c r="S38" i="1"/>
  <c r="S68" i="1"/>
  <c r="S96" i="1"/>
  <c r="S124" i="1"/>
  <c r="S24" i="1"/>
  <c r="S21" i="1"/>
  <c r="S145" i="1"/>
  <c r="S237" i="1"/>
  <c r="S265" i="1"/>
  <c r="S9" i="1"/>
  <c r="S35" i="1"/>
  <c r="S271" i="1"/>
  <c r="S203" i="1"/>
  <c r="S119" i="1"/>
  <c r="S103" i="1"/>
  <c r="S275" i="1"/>
  <c r="S223" i="1"/>
  <c r="S171" i="1"/>
  <c r="S178" i="1"/>
  <c r="S206" i="1"/>
  <c r="S234" i="1"/>
  <c r="S262" i="1"/>
  <c r="S6" i="1"/>
  <c r="S36" i="1"/>
  <c r="S64" i="1"/>
  <c r="S92" i="1"/>
  <c r="S248" i="1"/>
  <c r="S197" i="1"/>
  <c r="S113" i="1"/>
  <c r="S205" i="1"/>
  <c r="S233" i="1"/>
  <c r="S259" i="1"/>
  <c r="S3" i="1"/>
  <c r="S255" i="1"/>
  <c r="S139" i="1"/>
  <c r="S87" i="1"/>
  <c r="S249" i="1"/>
  <c r="S19" i="1"/>
  <c r="S162" i="1"/>
  <c r="S190" i="1"/>
  <c r="S218" i="1"/>
  <c r="S246" i="1"/>
  <c r="S276" i="1"/>
  <c r="S20" i="1"/>
  <c r="S48" i="1"/>
  <c r="S76" i="1"/>
  <c r="S216" i="1"/>
  <c r="S117" i="1"/>
  <c r="S97" i="1"/>
  <c r="S189" i="1"/>
  <c r="S217" i="1"/>
  <c r="S243" i="1"/>
  <c r="S239" i="1"/>
  <c r="S191" i="1"/>
  <c r="S107" i="1"/>
  <c r="S71" i="1"/>
  <c r="S221" i="1"/>
  <c r="S174" i="1"/>
  <c r="S202" i="1"/>
  <c r="S230" i="1"/>
  <c r="S260" i="1"/>
  <c r="S4" i="1"/>
  <c r="S32" i="1"/>
  <c r="S60" i="1"/>
  <c r="S184" i="1"/>
  <c r="S85" i="1"/>
  <c r="S81" i="1"/>
  <c r="S173" i="1"/>
  <c r="S201" i="1"/>
  <c r="S227" i="1"/>
  <c r="S207" i="1"/>
  <c r="S11" i="1"/>
  <c r="S75" i="1"/>
  <c r="S55" i="1"/>
  <c r="S152" i="1"/>
  <c r="S211" i="1"/>
  <c r="S175" i="1"/>
  <c r="S267" i="1"/>
  <c r="S43" i="1"/>
  <c r="S39" i="1"/>
  <c r="S214" i="1"/>
  <c r="S185" i="1"/>
  <c r="S114" i="1"/>
  <c r="S142" i="1"/>
  <c r="S170" i="1"/>
  <c r="S198" i="1"/>
  <c r="S228" i="1"/>
  <c r="S256" i="1"/>
  <c r="S284" i="1"/>
  <c r="S28" i="1"/>
  <c r="S120" i="1"/>
  <c r="S149" i="1"/>
  <c r="S49" i="1"/>
  <c r="S141" i="1"/>
  <c r="S169" i="1"/>
  <c r="S195" i="1"/>
  <c r="S143" i="1"/>
  <c r="S219" i="1"/>
  <c r="S279" i="1"/>
  <c r="S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077655-696C-4B4E-98D0-2E6177872A06}" name="dat150" type="103" refreshedVersion="8" minRefreshableVersion="5">
    <extLst>
      <ext xmlns:x15="http://schemas.microsoft.com/office/spreadsheetml/2010/11/main" uri="{DE250136-89BD-433C-8126-D09CA5730AF9}">
        <x15:connection id="dat150" autoDelete="1">
          <x15:textPr codePage="437" sourceFile="C:\Users\miche\OneDrive\Documents\Third Year 2022-2023\Winter 2023\ECON 102\Assignment 1\dat150.csv" tab="0" comma="1">
            <textFields count="3">
              <textField/>
              <textField/>
              <textField/>
            </textFields>
          </x15:textPr>
          <x15:modelTextPr headers="1"/>
        </x15:connection>
      </ext>
    </extLst>
  </connection>
  <connection id="2" xr16:uid="{0C11B262-D401-467C-B208-2EF2128823A1}" keepAlive="1" name="ModelConnection_dat150" description="Data Model" type="5" refreshedVersion="8" minRefreshableVersion="5" saveData="1">
    <dbPr connection="Data Model Connection" command="dat150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09B0616-6138-477B-87BB-EE30BD4DA6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<sst xmlns="http://schemas.openxmlformats.org/spreadsheetml/2006/main" count="162" uniqueCount="50">
  <si>
    <t>Year</t>
  </si>
  <si>
    <t>Quarter</t>
  </si>
  <si>
    <t>Expenditure</t>
  </si>
  <si>
    <t>Date</t>
  </si>
  <si>
    <t>DecDate</t>
  </si>
  <si>
    <t>LogExpenditure</t>
  </si>
  <si>
    <t>DecDate2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</si>
  <si>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</si>
  <si>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</si>
  <si>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</si>
  <si>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</si>
  <si>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</si>
  <si>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</si>
  <si>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</si>
  <si>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</si>
  <si>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</si>
  <si>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</si>
  <si>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</si>
  <si>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</si>
  <si>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</si>
  <si>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</si>
  <si>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</si>
  <si>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</si>
  <si>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</si>
  <si>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</si>
  <si>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</si>
  <si>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</si>
  <si>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</si>
  <si>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</si>
  <si>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</si>
  <si>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</si>
  <si>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</si>
  <si>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Linear Trend</t>
  </si>
  <si>
    <t>SUMMARY OUTPUT (Linear Expenditure)</t>
  </si>
  <si>
    <t>SUMMARY OUTPUT (Quadratic Expenditure)</t>
  </si>
  <si>
    <t>SUMMARY OUTPUT (Linear Log Expenditure)</t>
  </si>
  <si>
    <t>SUMMARY OUTPUT (Quadratic Log Expenditure)</t>
  </si>
  <si>
    <t>Log Linear Trend</t>
  </si>
  <si>
    <t>Log Quadratic Trend</t>
  </si>
  <si>
    <t>Detrended</t>
  </si>
  <si>
    <t>Quadratic Trend</t>
  </si>
  <si>
    <t>Cycle</t>
  </si>
  <si>
    <t>Low Frequency</t>
  </si>
  <si>
    <t>High Frequency</t>
  </si>
  <si>
    <t>S0</t>
  </si>
  <si>
    <t>Seasonal</t>
  </si>
  <si>
    <t>Log Expenditure</t>
  </si>
  <si>
    <t>SUMMARY OUTPUT</t>
  </si>
  <si>
    <t>gt</t>
  </si>
  <si>
    <t>gt.a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</si>
</sst>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2" borderId="0" xfId="0" applyFill="1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Data150!$G$2:$G$285</c:f>
              <c:numCache>
                <c:formatCode>0.00</c:formatCode>
                <c:ptCount val="284"/>
                <c:pt idx="0">
                  <c:v>6.5638555265321274</c:v>
                </c:pt>
                <c:pt idx="1">
                  <c:v>6.5381398237676702</c:v>
                </c:pt>
                <c:pt idx="2">
                  <c:v>6.5694814204142959</c:v>
                </c:pt>
                <c:pt idx="3">
                  <c:v>6.5072777123850116</c:v>
                </c:pt>
                <c:pt idx="4">
                  <c:v>6.4831073514571989</c:v>
                </c:pt>
                <c:pt idx="5">
                  <c:v>6.6012301187288767</c:v>
                </c:pt>
                <c:pt idx="6">
                  <c:v>6.5666724298032406</c:v>
                </c:pt>
                <c:pt idx="7">
                  <c:v>6.5323342922223491</c:v>
                </c:pt>
                <c:pt idx="8">
                  <c:v>6.5624440936937196</c:v>
                </c:pt>
                <c:pt idx="9">
                  <c:v>6.5750758405996201</c:v>
                </c:pt>
                <c:pt idx="10">
                  <c:v>6.5944134597497781</c:v>
                </c:pt>
                <c:pt idx="11">
                  <c:v>6.5250296578434623</c:v>
                </c:pt>
                <c:pt idx="12">
                  <c:v>6.5117453296447279</c:v>
                </c:pt>
                <c:pt idx="13">
                  <c:v>6.5820251388928259</c:v>
                </c:pt>
                <c:pt idx="14">
                  <c:v>6.5708829623395841</c:v>
                </c:pt>
                <c:pt idx="15">
                  <c:v>6.5250296578434623</c:v>
                </c:pt>
                <c:pt idx="16">
                  <c:v>6.5424719605068047</c:v>
                </c:pt>
                <c:pt idx="17">
                  <c:v>6.620073206530356</c:v>
                </c:pt>
                <c:pt idx="18">
                  <c:v>6.5722825426940075</c:v>
                </c:pt>
                <c:pt idx="19">
                  <c:v>6.5264948595707901</c:v>
                </c:pt>
                <c:pt idx="20">
                  <c:v>6.5680779114119758</c:v>
                </c:pt>
                <c:pt idx="21">
                  <c:v>6.6240652277998935</c:v>
                </c:pt>
                <c:pt idx="22">
                  <c:v>6.6214056517641344</c:v>
                </c:pt>
                <c:pt idx="23">
                  <c:v>6.5680779114119758</c:v>
                </c:pt>
                <c:pt idx="24">
                  <c:v>6.5308776277258849</c:v>
                </c:pt>
                <c:pt idx="25">
                  <c:v>6.6080006252960866</c:v>
                </c:pt>
                <c:pt idx="26">
                  <c:v>6.6463905148477291</c:v>
                </c:pt>
                <c:pt idx="27">
                  <c:v>6.5736801669606457</c:v>
                </c:pt>
                <c:pt idx="28">
                  <c:v>6.5395859556176692</c:v>
                </c:pt>
                <c:pt idx="29">
                  <c:v>6.6293632534374485</c:v>
                </c:pt>
                <c:pt idx="30">
                  <c:v>6.6631326959908028</c:v>
                </c:pt>
                <c:pt idx="31">
                  <c:v>6.577861357721047</c:v>
                </c:pt>
                <c:pt idx="32">
                  <c:v>6.522092798170152</c:v>
                </c:pt>
                <c:pt idx="33">
                  <c:v>6.6463905148477291</c:v>
                </c:pt>
                <c:pt idx="34">
                  <c:v>6.6320017773956303</c:v>
                </c:pt>
                <c:pt idx="35">
                  <c:v>6.5998704992128365</c:v>
                </c:pt>
                <c:pt idx="36">
                  <c:v>6.5944134597497781</c:v>
                </c:pt>
                <c:pt idx="37">
                  <c:v>6.6554403503676474</c:v>
                </c:pt>
                <c:pt idx="38">
                  <c:v>6.6515718735897273</c:v>
                </c:pt>
                <c:pt idx="39">
                  <c:v>6.6025878921893364</c:v>
                </c:pt>
                <c:pt idx="40">
                  <c:v>6.5652649700353614</c:v>
                </c:pt>
                <c:pt idx="41">
                  <c:v>6.6320017773956303</c:v>
                </c:pt>
                <c:pt idx="42">
                  <c:v>6.6463905148477291</c:v>
                </c:pt>
                <c:pt idx="43">
                  <c:v>6.5581978028122689</c:v>
                </c:pt>
                <c:pt idx="44">
                  <c:v>6.5889264775335192</c:v>
                </c:pt>
                <c:pt idx="45">
                  <c:v>6.6502790485874224</c:v>
                </c:pt>
                <c:pt idx="46">
                  <c:v>6.6346333578616861</c:v>
                </c:pt>
                <c:pt idx="47">
                  <c:v>6.5916737320086582</c:v>
                </c:pt>
                <c:pt idx="48">
                  <c:v>6.5834092221587648</c:v>
                </c:pt>
                <c:pt idx="49">
                  <c:v>6.6605751498396861</c:v>
                </c:pt>
                <c:pt idx="50">
                  <c:v>6.6398758338265358</c:v>
                </c:pt>
                <c:pt idx="51">
                  <c:v>6.5930445341424369</c:v>
                </c:pt>
                <c:pt idx="52">
                  <c:v>6.5680779114119758</c:v>
                </c:pt>
                <c:pt idx="53">
                  <c:v>6.7129562006770698</c:v>
                </c:pt>
                <c:pt idx="54">
                  <c:v>6.6808546787902152</c:v>
                </c:pt>
                <c:pt idx="55">
                  <c:v>6.6080006252960866</c:v>
                </c:pt>
                <c:pt idx="56">
                  <c:v>6.6052979209482015</c:v>
                </c:pt>
                <c:pt idx="57">
                  <c:v>6.6883547139467616</c:v>
                </c:pt>
                <c:pt idx="58">
                  <c:v>6.6592939196836376</c:v>
                </c:pt>
                <c:pt idx="59">
                  <c:v>6.5998704992128365</c:v>
                </c:pt>
                <c:pt idx="60">
                  <c:v>6.6080006252960866</c:v>
                </c:pt>
                <c:pt idx="61">
                  <c:v>6.6933236682699491</c:v>
                </c:pt>
                <c:pt idx="62">
                  <c:v>6.6908422774185636</c:v>
                </c:pt>
                <c:pt idx="63">
                  <c:v>6.6605751498396861</c:v>
                </c:pt>
                <c:pt idx="64">
                  <c:v>6.6160651851328174</c:v>
                </c:pt>
                <c:pt idx="65">
                  <c:v>6.7226297948554485</c:v>
                </c:pt>
                <c:pt idx="66">
                  <c:v>6.7226297948554485</c:v>
                </c:pt>
                <c:pt idx="67">
                  <c:v>6.6106960447177592</c:v>
                </c:pt>
                <c:pt idx="68">
                  <c:v>6.6120410348330916</c:v>
                </c:pt>
                <c:pt idx="69">
                  <c:v>6.6908422774185636</c:v>
                </c:pt>
                <c:pt idx="70">
                  <c:v>6.7226297948554485</c:v>
                </c:pt>
                <c:pt idx="71">
                  <c:v>6.6306833856423717</c:v>
                </c:pt>
                <c:pt idx="72">
                  <c:v>6.6174029779744776</c:v>
                </c:pt>
                <c:pt idx="73">
                  <c:v>6.6656837177824082</c:v>
                </c:pt>
                <c:pt idx="74">
                  <c:v>6.6437897331476723</c:v>
                </c:pt>
                <c:pt idx="75">
                  <c:v>6.6346333578616861</c:v>
                </c:pt>
                <c:pt idx="76">
                  <c:v>6.6346333578616861</c:v>
                </c:pt>
                <c:pt idx="77">
                  <c:v>6.6770834612471361</c:v>
                </c:pt>
                <c:pt idx="78">
                  <c:v>6.7165947735209777</c:v>
                </c:pt>
                <c:pt idx="79">
                  <c:v>6.6214056517641344</c:v>
                </c:pt>
                <c:pt idx="80">
                  <c:v>6.6147256002037604</c:v>
                </c:pt>
                <c:pt idx="81">
                  <c:v>6.678342114654332</c:v>
                </c:pt>
                <c:pt idx="82">
                  <c:v>6.7105231094524278</c:v>
                </c:pt>
                <c:pt idx="83">
                  <c:v>6.6580110458707482</c:v>
                </c:pt>
                <c:pt idx="84">
                  <c:v>6.5861716548546747</c:v>
                </c:pt>
                <c:pt idx="85">
                  <c:v>6.7068623366027467</c:v>
                </c:pt>
                <c:pt idx="86">
                  <c:v>6.7007311095478101</c:v>
                </c:pt>
                <c:pt idx="87">
                  <c:v>6.6253923680079563</c:v>
                </c:pt>
                <c:pt idx="88">
                  <c:v>6.5971457018866513</c:v>
                </c:pt>
                <c:pt idx="89">
                  <c:v>6.7044143549641069</c:v>
                </c:pt>
                <c:pt idx="90">
                  <c:v>6.7310181004820828</c:v>
                </c:pt>
                <c:pt idx="91">
                  <c:v>6.6398758338265358</c:v>
                </c:pt>
                <c:pt idx="92">
                  <c:v>6.6160651851328174</c:v>
                </c:pt>
                <c:pt idx="93">
                  <c:v>6.7165947735209777</c:v>
                </c:pt>
                <c:pt idx="94">
                  <c:v>6.7381524945959574</c:v>
                </c:pt>
                <c:pt idx="95">
                  <c:v>6.6502790485874224</c:v>
                </c:pt>
                <c:pt idx="96">
                  <c:v>6.6293632534374485</c:v>
                </c:pt>
                <c:pt idx="97">
                  <c:v>6.6554403503676474</c:v>
                </c:pt>
                <c:pt idx="98">
                  <c:v>6.6770834612471361</c:v>
                </c:pt>
                <c:pt idx="99">
                  <c:v>6.6567265241783913</c:v>
                </c:pt>
                <c:pt idx="100">
                  <c:v>6.6476883735633292</c:v>
                </c:pt>
                <c:pt idx="101">
                  <c:v>6.7262334023587469</c:v>
                </c:pt>
                <c:pt idx="102">
                  <c:v>6.7417006946520548</c:v>
                </c:pt>
                <c:pt idx="103">
                  <c:v>6.7202201551352951</c:v>
                </c:pt>
                <c:pt idx="104">
                  <c:v>6.6821085974498091</c:v>
                </c:pt>
                <c:pt idx="105">
                  <c:v>6.7557689219842549</c:v>
                </c:pt>
                <c:pt idx="106">
                  <c:v>6.7638849085624351</c:v>
                </c:pt>
                <c:pt idx="107">
                  <c:v>6.6656837177824082</c:v>
                </c:pt>
                <c:pt idx="108">
                  <c:v>6.6554403503676474</c:v>
                </c:pt>
                <c:pt idx="109">
                  <c:v>6.7117403950561796</c:v>
                </c:pt>
                <c:pt idx="110">
                  <c:v>6.7286286130847017</c:v>
                </c:pt>
                <c:pt idx="111">
                  <c:v>6.7105231094524278</c:v>
                </c:pt>
                <c:pt idx="112">
                  <c:v>6.674561391814426</c:v>
                </c:pt>
                <c:pt idx="113">
                  <c:v>6.7286286130847017</c:v>
                </c:pt>
                <c:pt idx="114">
                  <c:v>6.7464121285733745</c:v>
                </c:pt>
                <c:pt idx="115">
                  <c:v>6.6808546787902152</c:v>
                </c:pt>
                <c:pt idx="116">
                  <c:v>6.7310181004820828</c:v>
                </c:pt>
                <c:pt idx="117">
                  <c:v>6.7298240704894754</c:v>
                </c:pt>
                <c:pt idx="118">
                  <c:v>6.7557689219842549</c:v>
                </c:pt>
                <c:pt idx="119">
                  <c:v>6.6871086078665147</c:v>
                </c:pt>
                <c:pt idx="120">
                  <c:v>6.6795991858443831</c:v>
                </c:pt>
                <c:pt idx="121">
                  <c:v>6.7810576259361799</c:v>
                </c:pt>
                <c:pt idx="122">
                  <c:v>6.7250336421668431</c:v>
                </c:pt>
                <c:pt idx="123">
                  <c:v>6.6821085974498091</c:v>
                </c:pt>
                <c:pt idx="124">
                  <c:v>6.7202201551352951</c:v>
                </c:pt>
                <c:pt idx="125">
                  <c:v>6.7900972355139046</c:v>
                </c:pt>
                <c:pt idx="126">
                  <c:v>6.7511014689367599</c:v>
                </c:pt>
                <c:pt idx="127">
                  <c:v>6.7056390948600031</c:v>
                </c:pt>
                <c:pt idx="128">
                  <c:v>6.70196036600254</c:v>
                </c:pt>
                <c:pt idx="129">
                  <c:v>6.7440591863113477</c:v>
                </c:pt>
                <c:pt idx="130">
                  <c:v>6.7417006946520548</c:v>
                </c:pt>
                <c:pt idx="131">
                  <c:v>6.7153833863346808</c:v>
                </c:pt>
                <c:pt idx="132">
                  <c:v>6.692083742506628</c:v>
                </c:pt>
                <c:pt idx="133">
                  <c:v>6.7381524945959574</c:v>
                </c:pt>
                <c:pt idx="134">
                  <c:v>6.7661917146603505</c:v>
                </c:pt>
                <c:pt idx="135">
                  <c:v>6.7274317248508551</c:v>
                </c:pt>
                <c:pt idx="136">
                  <c:v>6.7250336421668431</c:v>
                </c:pt>
                <c:pt idx="137">
                  <c:v>6.7810576259361799</c:v>
                </c:pt>
                <c:pt idx="138">
                  <c:v>6.7945865808764987</c:v>
                </c:pt>
                <c:pt idx="139">
                  <c:v>6.7452363494843626</c:v>
                </c:pt>
                <c:pt idx="140">
                  <c:v>6.7322107064672059</c:v>
                </c:pt>
                <c:pt idx="141">
                  <c:v>6.7855876450079293</c:v>
                </c:pt>
                <c:pt idx="142">
                  <c:v>6.7844570626376433</c:v>
                </c:pt>
                <c:pt idx="143">
                  <c:v>6.694562058521095</c:v>
                </c:pt>
                <c:pt idx="144">
                  <c:v>6.7557689219842549</c:v>
                </c:pt>
                <c:pt idx="145">
                  <c:v>6.816735880594968</c:v>
                </c:pt>
                <c:pt idx="146">
                  <c:v>6.7627295069318789</c:v>
                </c:pt>
                <c:pt idx="147">
                  <c:v>6.7286286130847017</c:v>
                </c:pt>
                <c:pt idx="148">
                  <c:v>6.7080840838530698</c:v>
                </c:pt>
                <c:pt idx="149">
                  <c:v>6.7889717429921701</c:v>
                </c:pt>
                <c:pt idx="150">
                  <c:v>6.7968237182748554</c:v>
                </c:pt>
                <c:pt idx="151">
                  <c:v>6.7546040994879624</c:v>
                </c:pt>
                <c:pt idx="152">
                  <c:v>6.7238324408212087</c:v>
                </c:pt>
                <c:pt idx="153">
                  <c:v>6.7810576259361799</c:v>
                </c:pt>
                <c:pt idx="154">
                  <c:v>6.7889717429921701</c:v>
                </c:pt>
                <c:pt idx="155">
                  <c:v>6.7546040994879624</c:v>
                </c:pt>
                <c:pt idx="156">
                  <c:v>6.7068623366027467</c:v>
                </c:pt>
                <c:pt idx="157">
                  <c:v>6.80128303447162</c:v>
                </c:pt>
                <c:pt idx="158">
                  <c:v>6.8134445995108956</c:v>
                </c:pt>
                <c:pt idx="159">
                  <c:v>6.752270376141742</c:v>
                </c:pt>
                <c:pt idx="160">
                  <c:v>6.7357800142423265</c:v>
                </c:pt>
                <c:pt idx="161">
                  <c:v>6.7979404129749303</c:v>
                </c:pt>
                <c:pt idx="162">
                  <c:v>6.8101424501151362</c:v>
                </c:pt>
                <c:pt idx="163">
                  <c:v>6.7569323892475532</c:v>
                </c:pt>
                <c:pt idx="164">
                  <c:v>6.7475865268293154</c:v>
                </c:pt>
                <c:pt idx="165">
                  <c:v>6.816735880594968</c:v>
                </c:pt>
                <c:pt idx="166">
                  <c:v>6.8490662826334576</c:v>
                </c:pt>
                <c:pt idx="167">
                  <c:v>6.7627295069318789</c:v>
                </c:pt>
                <c:pt idx="168">
                  <c:v>6.7833252006039597</c:v>
                </c:pt>
                <c:pt idx="169">
                  <c:v>6.8079349436999257</c:v>
                </c:pt>
                <c:pt idx="170">
                  <c:v>6.8243736700430864</c:v>
                </c:pt>
                <c:pt idx="171">
                  <c:v>6.815639990074331</c:v>
                </c:pt>
                <c:pt idx="172">
                  <c:v>6.7776465936351169</c:v>
                </c:pt>
                <c:pt idx="173">
                  <c:v>6.831953565565855</c:v>
                </c:pt>
                <c:pt idx="174">
                  <c:v>6.828712071641684</c:v>
                </c:pt>
                <c:pt idx="175">
                  <c:v>6.7923444274708089</c:v>
                </c:pt>
                <c:pt idx="176">
                  <c:v>6.7742238863576141</c:v>
                </c:pt>
                <c:pt idx="177">
                  <c:v>6.8330317327862007</c:v>
                </c:pt>
                <c:pt idx="178">
                  <c:v>6.8362592772770672</c:v>
                </c:pt>
                <c:pt idx="179">
                  <c:v>6.8090393060429797</c:v>
                </c:pt>
                <c:pt idx="180">
                  <c:v>6.7707894239089796</c:v>
                </c:pt>
                <c:pt idx="181">
                  <c:v>6.8200163646741299</c:v>
                </c:pt>
                <c:pt idx="182">
                  <c:v>6.8585650347913649</c:v>
                </c:pt>
                <c:pt idx="183">
                  <c:v>6.7833252006039597</c:v>
                </c:pt>
                <c:pt idx="184">
                  <c:v>6.7730803756555353</c:v>
                </c:pt>
                <c:pt idx="185">
                  <c:v>6.8469431395853793</c:v>
                </c:pt>
                <c:pt idx="186">
                  <c:v>6.8554087986099281</c:v>
                </c:pt>
                <c:pt idx="187">
                  <c:v>6.8511849274937431</c:v>
                </c:pt>
                <c:pt idx="188">
                  <c:v>6.8394764382288429</c:v>
                </c:pt>
                <c:pt idx="189">
                  <c:v>6.9157234486313142</c:v>
                </c:pt>
                <c:pt idx="190">
                  <c:v>6.8721281013389861</c:v>
                </c:pt>
                <c:pt idx="191">
                  <c:v>6.8243736700430864</c:v>
                </c:pt>
                <c:pt idx="192">
                  <c:v>6.7889717429921701</c:v>
                </c:pt>
                <c:pt idx="193">
                  <c:v>6.8803840821860049</c:v>
                </c:pt>
                <c:pt idx="194">
                  <c:v>6.9087547793152204</c:v>
                </c:pt>
                <c:pt idx="195">
                  <c:v>6.8243736700430864</c:v>
                </c:pt>
                <c:pt idx="196">
                  <c:v>6.7889717429921701</c:v>
                </c:pt>
                <c:pt idx="197">
                  <c:v>6.8710912946105456</c:v>
                </c:pt>
                <c:pt idx="198">
                  <c:v>6.8814113036425351</c:v>
                </c:pt>
                <c:pt idx="199">
                  <c:v>6.8232861223556869</c:v>
                </c:pt>
                <c:pt idx="200">
                  <c:v>6.8023947633243109</c:v>
                </c:pt>
                <c:pt idx="201">
                  <c:v>6.8803840821860049</c:v>
                </c:pt>
                <c:pt idx="202">
                  <c:v>6.8721281013389861</c:v>
                </c:pt>
                <c:pt idx="203">
                  <c:v>6.8276292345028518</c:v>
                </c:pt>
                <c:pt idx="204">
                  <c:v>6.799055862058796</c:v>
                </c:pt>
                <c:pt idx="205">
                  <c:v>6.8814113036425351</c:v>
                </c:pt>
                <c:pt idx="206">
                  <c:v>6.8532990931860782</c:v>
                </c:pt>
                <c:pt idx="207">
                  <c:v>6.8437499490062246</c:v>
                </c:pt>
                <c:pt idx="208">
                  <c:v>6.8243736700430864</c:v>
                </c:pt>
                <c:pt idx="209">
                  <c:v>6.8480052745763631</c:v>
                </c:pt>
                <c:pt idx="210">
                  <c:v>6.9027427371585928</c:v>
                </c:pt>
                <c:pt idx="211">
                  <c:v>6.8341087388138382</c:v>
                </c:pt>
                <c:pt idx="212">
                  <c:v>6.8490662826334576</c:v>
                </c:pt>
                <c:pt idx="213">
                  <c:v>6.9295167707636498</c:v>
                </c:pt>
                <c:pt idx="214">
                  <c:v>6.8762646118907664</c:v>
                </c:pt>
                <c:pt idx="215">
                  <c:v>6.8448154792082629</c:v>
                </c:pt>
                <c:pt idx="216">
                  <c:v>6.826545223556594</c:v>
                </c:pt>
                <c:pt idx="217">
                  <c:v>6.8752320872765766</c:v>
                </c:pt>
                <c:pt idx="218">
                  <c:v>6.8906091201471664</c:v>
                </c:pt>
                <c:pt idx="219">
                  <c:v>6.8437499490062246</c:v>
                </c:pt>
                <c:pt idx="220">
                  <c:v>6.815639990074331</c:v>
                </c:pt>
                <c:pt idx="221">
                  <c:v>6.8783264682913252</c:v>
                </c:pt>
                <c:pt idx="222">
                  <c:v>6.8824374709978473</c:v>
                </c:pt>
                <c:pt idx="223">
                  <c:v>6.8480052745763631</c:v>
                </c:pt>
                <c:pt idx="224">
                  <c:v>6.8564619845945867</c:v>
                </c:pt>
                <c:pt idx="225">
                  <c:v>6.9546388648809874</c:v>
                </c:pt>
                <c:pt idx="226">
                  <c:v>6.9137373506596846</c:v>
                </c:pt>
                <c:pt idx="227">
                  <c:v>6.9067547786485539</c:v>
                </c:pt>
                <c:pt idx="228">
                  <c:v>6.8814113036425351</c:v>
                </c:pt>
                <c:pt idx="229">
                  <c:v>6.9186952190204716</c:v>
                </c:pt>
                <c:pt idx="230">
                  <c:v>6.9275579062783166</c:v>
                </c:pt>
                <c:pt idx="231">
                  <c:v>6.879355804460439</c:v>
                </c:pt>
                <c:pt idx="232">
                  <c:v>6.8658910748834385</c:v>
                </c:pt>
                <c:pt idx="233">
                  <c:v>6.9127428204931762</c:v>
                </c:pt>
                <c:pt idx="234">
                  <c:v>6.9546388648809874</c:v>
                </c:pt>
                <c:pt idx="235">
                  <c:v>6.9037472575845982</c:v>
                </c:pt>
                <c:pt idx="236">
                  <c:v>6.8803840821860049</c:v>
                </c:pt>
                <c:pt idx="237">
                  <c:v>6.9246123960485599</c:v>
                </c:pt>
                <c:pt idx="238">
                  <c:v>6.9177056098353047</c:v>
                </c:pt>
                <c:pt idx="239">
                  <c:v>6.8834625864130921</c:v>
                </c:pt>
                <c:pt idx="240">
                  <c:v>6.8987145343299883</c:v>
                </c:pt>
                <c:pt idx="241">
                  <c:v>6.9206715042486833</c:v>
                </c:pt>
                <c:pt idx="242">
                  <c:v>6.9363427358340495</c:v>
                </c:pt>
                <c:pt idx="243">
                  <c:v>6.8814113036425351</c:v>
                </c:pt>
                <c:pt idx="244">
                  <c:v>6.8865316425305103</c:v>
                </c:pt>
                <c:pt idx="245">
                  <c:v>6.9226438914758877</c:v>
                </c:pt>
                <c:pt idx="246">
                  <c:v>6.9285378181646653</c:v>
                </c:pt>
                <c:pt idx="247">
                  <c:v>6.9107507879619359</c:v>
                </c:pt>
                <c:pt idx="248">
                  <c:v>6.9067547786485539</c:v>
                </c:pt>
                <c:pt idx="249">
                  <c:v>6.9285378181646653</c:v>
                </c:pt>
                <c:pt idx="250">
                  <c:v>6.9196838498474111</c:v>
                </c:pt>
                <c:pt idx="251">
                  <c:v>6.8803840821860049</c:v>
                </c:pt>
                <c:pt idx="252">
                  <c:v>6.8741984954532942</c:v>
                </c:pt>
                <c:pt idx="253">
                  <c:v>6.9314718055994531</c:v>
                </c:pt>
                <c:pt idx="254">
                  <c:v>6.9688503783419478</c:v>
                </c:pt>
                <c:pt idx="255">
                  <c:v>6.9077552789821368</c:v>
                </c:pt>
                <c:pt idx="256">
                  <c:v>6.8906091201471664</c:v>
                </c:pt>
                <c:pt idx="257">
                  <c:v>6.9411900550683745</c:v>
                </c:pt>
                <c:pt idx="258">
                  <c:v>6.9527286446248686</c:v>
                </c:pt>
                <c:pt idx="259">
                  <c:v>6.9087547793152204</c:v>
                </c:pt>
                <c:pt idx="260">
                  <c:v>6.9275579062783166</c:v>
                </c:pt>
                <c:pt idx="261">
                  <c:v>6.9828627514689421</c:v>
                </c:pt>
                <c:pt idx="262">
                  <c:v>6.9874902470009905</c:v>
                </c:pt>
                <c:pt idx="263">
                  <c:v>6.9392539460415081</c:v>
                </c:pt>
                <c:pt idx="264">
                  <c:v>6.9498564550007726</c:v>
                </c:pt>
                <c:pt idx="265">
                  <c:v>6.9957661563048505</c:v>
                </c:pt>
                <c:pt idx="266">
                  <c:v>6.9939329752231894</c:v>
                </c:pt>
                <c:pt idx="267">
                  <c:v>6.9754139274559517</c:v>
                </c:pt>
                <c:pt idx="268">
                  <c:v>6.9077552789821368</c:v>
                </c:pt>
                <c:pt idx="269">
                  <c:v>6.9948499858330706</c:v>
                </c:pt>
                <c:pt idx="270">
                  <c:v>6.9902565004938806</c:v>
                </c:pt>
                <c:pt idx="271">
                  <c:v>6.9246123960485599</c:v>
                </c:pt>
                <c:pt idx="272">
                  <c:v>6.9206715042486833</c:v>
                </c:pt>
                <c:pt idx="273">
                  <c:v>6.9688503783419478</c:v>
                </c:pt>
                <c:pt idx="274">
                  <c:v>6.9884131819995918</c:v>
                </c:pt>
                <c:pt idx="275">
                  <c:v>6.9216581841511289</c:v>
                </c:pt>
                <c:pt idx="276">
                  <c:v>6.9047507699618382</c:v>
                </c:pt>
                <c:pt idx="277">
                  <c:v>7.00033446027523</c:v>
                </c:pt>
                <c:pt idx="278">
                  <c:v>7.0048819897128594</c:v>
                </c:pt>
                <c:pt idx="279">
                  <c:v>6.9255951971104679</c:v>
                </c:pt>
                <c:pt idx="280">
                  <c:v>6.9246123960485599</c:v>
                </c:pt>
                <c:pt idx="281">
                  <c:v>6.9744789110250451</c:v>
                </c:pt>
                <c:pt idx="282">
                  <c:v>7.0121152943063798</c:v>
                </c:pt>
                <c:pt idx="283">
                  <c:v>6.9874902470009905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2-4550-A54F-C80510E2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94016"/>
        <c:axId val="1198389872"/>
      </c:scatterChart>
      <c:valAx>
        <c:axId val="119399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389872"/>
        <c:crosses val="autoZero"/>
        <c:crossBetween val="midCat"/>
      </c:valAx>
      <c:valAx>
        <c:axId val="119838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9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Expenditure from 1950 to 2020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Data150!$F$1</c:f>
              <c:strCache>
                <c:ptCount val="1"/>
                <c:pt idx="0">
                  <c:v>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Data150!$F$2:$F$285</c:f>
              <c:numCache>
                <c:formatCode>General</c:formatCode>
                <c:ptCount val="284"/>
                <c:pt idx="0">
                  <c:v>709</c:v>
                </c:pt>
                <c:pt idx="1">
                  <c:v>691</c:v>
                </c:pt>
                <c:pt idx="2">
                  <c:v>713</c:v>
                </c:pt>
                <c:pt idx="3">
                  <c:v>670</c:v>
                </c:pt>
                <c:pt idx="4">
                  <c:v>654</c:v>
                </c:pt>
                <c:pt idx="5">
                  <c:v>736</c:v>
                </c:pt>
                <c:pt idx="6">
                  <c:v>711</c:v>
                </c:pt>
                <c:pt idx="7">
                  <c:v>687</c:v>
                </c:pt>
                <c:pt idx="8">
                  <c:v>708</c:v>
                </c:pt>
                <c:pt idx="9">
                  <c:v>717</c:v>
                </c:pt>
                <c:pt idx="10">
                  <c:v>731</c:v>
                </c:pt>
                <c:pt idx="11">
                  <c:v>682</c:v>
                </c:pt>
                <c:pt idx="12">
                  <c:v>673</c:v>
                </c:pt>
                <c:pt idx="13">
                  <c:v>722</c:v>
                </c:pt>
                <c:pt idx="14">
                  <c:v>714</c:v>
                </c:pt>
                <c:pt idx="15">
                  <c:v>682</c:v>
                </c:pt>
                <c:pt idx="16">
                  <c:v>694</c:v>
                </c:pt>
                <c:pt idx="17">
                  <c:v>750</c:v>
                </c:pt>
                <c:pt idx="18">
                  <c:v>715</c:v>
                </c:pt>
                <c:pt idx="19">
                  <c:v>683</c:v>
                </c:pt>
                <c:pt idx="20">
                  <c:v>712</c:v>
                </c:pt>
                <c:pt idx="21">
                  <c:v>753</c:v>
                </c:pt>
                <c:pt idx="22">
                  <c:v>751</c:v>
                </c:pt>
                <c:pt idx="23">
                  <c:v>712</c:v>
                </c:pt>
                <c:pt idx="24">
                  <c:v>686</c:v>
                </c:pt>
                <c:pt idx="25">
                  <c:v>741</c:v>
                </c:pt>
                <c:pt idx="26">
                  <c:v>770</c:v>
                </c:pt>
                <c:pt idx="27">
                  <c:v>716</c:v>
                </c:pt>
                <c:pt idx="28">
                  <c:v>692</c:v>
                </c:pt>
                <c:pt idx="29">
                  <c:v>757</c:v>
                </c:pt>
                <c:pt idx="30">
                  <c:v>783</c:v>
                </c:pt>
                <c:pt idx="31">
                  <c:v>719</c:v>
                </c:pt>
                <c:pt idx="32">
                  <c:v>680</c:v>
                </c:pt>
                <c:pt idx="33">
                  <c:v>770</c:v>
                </c:pt>
                <c:pt idx="34">
                  <c:v>759</c:v>
                </c:pt>
                <c:pt idx="35">
                  <c:v>735</c:v>
                </c:pt>
                <c:pt idx="36">
                  <c:v>731</c:v>
                </c:pt>
                <c:pt idx="37">
                  <c:v>777</c:v>
                </c:pt>
                <c:pt idx="38">
                  <c:v>774</c:v>
                </c:pt>
                <c:pt idx="39">
                  <c:v>737</c:v>
                </c:pt>
                <c:pt idx="40">
                  <c:v>710</c:v>
                </c:pt>
                <c:pt idx="41">
                  <c:v>759</c:v>
                </c:pt>
                <c:pt idx="42">
                  <c:v>770</c:v>
                </c:pt>
                <c:pt idx="43">
                  <c:v>705</c:v>
                </c:pt>
                <c:pt idx="44">
                  <c:v>727</c:v>
                </c:pt>
                <c:pt idx="45">
                  <c:v>773</c:v>
                </c:pt>
                <c:pt idx="46">
                  <c:v>761</c:v>
                </c:pt>
                <c:pt idx="47">
                  <c:v>729</c:v>
                </c:pt>
                <c:pt idx="48">
                  <c:v>723</c:v>
                </c:pt>
                <c:pt idx="49">
                  <c:v>781</c:v>
                </c:pt>
                <c:pt idx="50">
                  <c:v>765</c:v>
                </c:pt>
                <c:pt idx="51">
                  <c:v>730</c:v>
                </c:pt>
                <c:pt idx="52">
                  <c:v>712</c:v>
                </c:pt>
                <c:pt idx="53">
                  <c:v>823</c:v>
                </c:pt>
                <c:pt idx="54">
                  <c:v>797</c:v>
                </c:pt>
                <c:pt idx="55">
                  <c:v>741</c:v>
                </c:pt>
                <c:pt idx="56">
                  <c:v>739</c:v>
                </c:pt>
                <c:pt idx="57">
                  <c:v>803</c:v>
                </c:pt>
                <c:pt idx="58">
                  <c:v>780</c:v>
                </c:pt>
                <c:pt idx="59">
                  <c:v>735</c:v>
                </c:pt>
                <c:pt idx="60">
                  <c:v>741</c:v>
                </c:pt>
                <c:pt idx="61">
                  <c:v>807</c:v>
                </c:pt>
                <c:pt idx="62">
                  <c:v>805</c:v>
                </c:pt>
                <c:pt idx="63">
                  <c:v>781</c:v>
                </c:pt>
                <c:pt idx="64">
                  <c:v>747</c:v>
                </c:pt>
                <c:pt idx="65">
                  <c:v>831</c:v>
                </c:pt>
                <c:pt idx="66">
                  <c:v>831</c:v>
                </c:pt>
                <c:pt idx="67">
                  <c:v>743</c:v>
                </c:pt>
                <c:pt idx="68">
                  <c:v>744</c:v>
                </c:pt>
                <c:pt idx="69">
                  <c:v>805</c:v>
                </c:pt>
                <c:pt idx="70">
                  <c:v>831</c:v>
                </c:pt>
                <c:pt idx="71">
                  <c:v>758</c:v>
                </c:pt>
                <c:pt idx="72">
                  <c:v>748</c:v>
                </c:pt>
                <c:pt idx="73">
                  <c:v>785</c:v>
                </c:pt>
                <c:pt idx="74">
                  <c:v>768</c:v>
                </c:pt>
                <c:pt idx="75">
                  <c:v>761</c:v>
                </c:pt>
                <c:pt idx="76">
                  <c:v>761</c:v>
                </c:pt>
                <c:pt idx="77">
                  <c:v>794</c:v>
                </c:pt>
                <c:pt idx="78">
                  <c:v>826</c:v>
                </c:pt>
                <c:pt idx="79">
                  <c:v>751</c:v>
                </c:pt>
                <c:pt idx="80">
                  <c:v>746</c:v>
                </c:pt>
                <c:pt idx="81">
                  <c:v>795</c:v>
                </c:pt>
                <c:pt idx="82">
                  <c:v>821</c:v>
                </c:pt>
                <c:pt idx="83">
                  <c:v>779</c:v>
                </c:pt>
                <c:pt idx="84">
                  <c:v>725</c:v>
                </c:pt>
                <c:pt idx="85">
                  <c:v>818</c:v>
                </c:pt>
                <c:pt idx="86">
                  <c:v>813</c:v>
                </c:pt>
                <c:pt idx="87">
                  <c:v>754</c:v>
                </c:pt>
                <c:pt idx="88">
                  <c:v>733</c:v>
                </c:pt>
                <c:pt idx="89">
                  <c:v>816</c:v>
                </c:pt>
                <c:pt idx="90">
                  <c:v>838</c:v>
                </c:pt>
                <c:pt idx="91">
                  <c:v>765</c:v>
                </c:pt>
                <c:pt idx="92">
                  <c:v>747</c:v>
                </c:pt>
                <c:pt idx="93">
                  <c:v>826</c:v>
                </c:pt>
                <c:pt idx="94">
                  <c:v>844</c:v>
                </c:pt>
                <c:pt idx="95">
                  <c:v>773</c:v>
                </c:pt>
                <c:pt idx="96">
                  <c:v>757</c:v>
                </c:pt>
                <c:pt idx="97">
                  <c:v>777</c:v>
                </c:pt>
                <c:pt idx="98">
                  <c:v>794</c:v>
                </c:pt>
                <c:pt idx="99">
                  <c:v>778</c:v>
                </c:pt>
                <c:pt idx="100">
                  <c:v>771</c:v>
                </c:pt>
                <c:pt idx="101">
                  <c:v>834</c:v>
                </c:pt>
                <c:pt idx="102">
                  <c:v>847</c:v>
                </c:pt>
                <c:pt idx="103">
                  <c:v>829</c:v>
                </c:pt>
                <c:pt idx="104">
                  <c:v>798</c:v>
                </c:pt>
                <c:pt idx="105">
                  <c:v>859</c:v>
                </c:pt>
                <c:pt idx="106">
                  <c:v>866</c:v>
                </c:pt>
                <c:pt idx="107">
                  <c:v>785</c:v>
                </c:pt>
                <c:pt idx="108">
                  <c:v>777</c:v>
                </c:pt>
                <c:pt idx="109">
                  <c:v>822</c:v>
                </c:pt>
                <c:pt idx="110">
                  <c:v>836</c:v>
                </c:pt>
                <c:pt idx="111">
                  <c:v>821</c:v>
                </c:pt>
                <c:pt idx="112">
                  <c:v>792</c:v>
                </c:pt>
                <c:pt idx="113">
                  <c:v>836</c:v>
                </c:pt>
                <c:pt idx="114">
                  <c:v>851</c:v>
                </c:pt>
                <c:pt idx="115">
                  <c:v>797</c:v>
                </c:pt>
                <c:pt idx="116">
                  <c:v>838</c:v>
                </c:pt>
                <c:pt idx="117">
                  <c:v>837</c:v>
                </c:pt>
                <c:pt idx="118">
                  <c:v>859</c:v>
                </c:pt>
                <c:pt idx="119">
                  <c:v>802</c:v>
                </c:pt>
                <c:pt idx="120">
                  <c:v>796</c:v>
                </c:pt>
                <c:pt idx="121">
                  <c:v>881</c:v>
                </c:pt>
                <c:pt idx="122">
                  <c:v>833</c:v>
                </c:pt>
                <c:pt idx="123">
                  <c:v>798</c:v>
                </c:pt>
                <c:pt idx="124">
                  <c:v>829</c:v>
                </c:pt>
                <c:pt idx="125">
                  <c:v>889</c:v>
                </c:pt>
                <c:pt idx="126">
                  <c:v>855</c:v>
                </c:pt>
                <c:pt idx="127">
                  <c:v>817</c:v>
                </c:pt>
                <c:pt idx="128">
                  <c:v>814</c:v>
                </c:pt>
                <c:pt idx="129">
                  <c:v>849</c:v>
                </c:pt>
                <c:pt idx="130">
                  <c:v>847</c:v>
                </c:pt>
                <c:pt idx="131">
                  <c:v>825</c:v>
                </c:pt>
                <c:pt idx="132">
                  <c:v>806</c:v>
                </c:pt>
                <c:pt idx="133">
                  <c:v>844</c:v>
                </c:pt>
                <c:pt idx="134">
                  <c:v>868</c:v>
                </c:pt>
                <c:pt idx="135">
                  <c:v>835</c:v>
                </c:pt>
                <c:pt idx="136">
                  <c:v>833</c:v>
                </c:pt>
                <c:pt idx="137">
                  <c:v>881</c:v>
                </c:pt>
                <c:pt idx="138">
                  <c:v>893</c:v>
                </c:pt>
                <c:pt idx="139">
                  <c:v>850</c:v>
                </c:pt>
                <c:pt idx="140">
                  <c:v>839</c:v>
                </c:pt>
                <c:pt idx="141">
                  <c:v>885</c:v>
                </c:pt>
                <c:pt idx="142">
                  <c:v>884</c:v>
                </c:pt>
                <c:pt idx="143">
                  <c:v>808</c:v>
                </c:pt>
                <c:pt idx="144">
                  <c:v>859</c:v>
                </c:pt>
                <c:pt idx="145">
                  <c:v>913</c:v>
                </c:pt>
                <c:pt idx="146">
                  <c:v>865</c:v>
                </c:pt>
                <c:pt idx="147">
                  <c:v>836</c:v>
                </c:pt>
                <c:pt idx="148">
                  <c:v>819</c:v>
                </c:pt>
                <c:pt idx="149">
                  <c:v>888</c:v>
                </c:pt>
                <c:pt idx="150">
                  <c:v>895</c:v>
                </c:pt>
                <c:pt idx="151">
                  <c:v>858</c:v>
                </c:pt>
                <c:pt idx="152">
                  <c:v>832</c:v>
                </c:pt>
                <c:pt idx="153">
                  <c:v>881</c:v>
                </c:pt>
                <c:pt idx="154">
                  <c:v>888</c:v>
                </c:pt>
                <c:pt idx="155">
                  <c:v>858</c:v>
                </c:pt>
                <c:pt idx="156">
                  <c:v>818</c:v>
                </c:pt>
                <c:pt idx="157">
                  <c:v>899</c:v>
                </c:pt>
                <c:pt idx="158">
                  <c:v>910</c:v>
                </c:pt>
                <c:pt idx="159">
                  <c:v>856</c:v>
                </c:pt>
                <c:pt idx="160">
                  <c:v>842</c:v>
                </c:pt>
                <c:pt idx="161">
                  <c:v>896</c:v>
                </c:pt>
                <c:pt idx="162">
                  <c:v>907</c:v>
                </c:pt>
                <c:pt idx="163">
                  <c:v>860</c:v>
                </c:pt>
                <c:pt idx="164">
                  <c:v>852</c:v>
                </c:pt>
                <c:pt idx="165">
                  <c:v>913</c:v>
                </c:pt>
                <c:pt idx="166">
                  <c:v>943</c:v>
                </c:pt>
                <c:pt idx="167">
                  <c:v>865</c:v>
                </c:pt>
                <c:pt idx="168">
                  <c:v>883</c:v>
                </c:pt>
                <c:pt idx="169">
                  <c:v>905</c:v>
                </c:pt>
                <c:pt idx="170">
                  <c:v>920</c:v>
                </c:pt>
                <c:pt idx="171">
                  <c:v>912</c:v>
                </c:pt>
                <c:pt idx="172">
                  <c:v>878</c:v>
                </c:pt>
                <c:pt idx="173">
                  <c:v>927</c:v>
                </c:pt>
                <c:pt idx="174">
                  <c:v>924</c:v>
                </c:pt>
                <c:pt idx="175">
                  <c:v>891</c:v>
                </c:pt>
                <c:pt idx="176">
                  <c:v>875</c:v>
                </c:pt>
                <c:pt idx="177">
                  <c:v>928</c:v>
                </c:pt>
                <c:pt idx="178">
                  <c:v>931</c:v>
                </c:pt>
                <c:pt idx="179">
                  <c:v>906</c:v>
                </c:pt>
                <c:pt idx="180">
                  <c:v>872</c:v>
                </c:pt>
                <c:pt idx="181">
                  <c:v>916</c:v>
                </c:pt>
                <c:pt idx="182">
                  <c:v>952</c:v>
                </c:pt>
                <c:pt idx="183">
                  <c:v>883</c:v>
                </c:pt>
                <c:pt idx="184">
                  <c:v>874</c:v>
                </c:pt>
                <c:pt idx="185">
                  <c:v>941</c:v>
                </c:pt>
                <c:pt idx="186">
                  <c:v>949</c:v>
                </c:pt>
                <c:pt idx="187">
                  <c:v>945</c:v>
                </c:pt>
                <c:pt idx="188">
                  <c:v>934</c:v>
                </c:pt>
                <c:pt idx="189">
                  <c:v>1008</c:v>
                </c:pt>
                <c:pt idx="190">
                  <c:v>965</c:v>
                </c:pt>
                <c:pt idx="191">
                  <c:v>920</c:v>
                </c:pt>
                <c:pt idx="192">
                  <c:v>888</c:v>
                </c:pt>
                <c:pt idx="193">
                  <c:v>973</c:v>
                </c:pt>
                <c:pt idx="194">
                  <c:v>1001</c:v>
                </c:pt>
                <c:pt idx="195">
                  <c:v>920</c:v>
                </c:pt>
                <c:pt idx="196">
                  <c:v>888</c:v>
                </c:pt>
                <c:pt idx="197">
                  <c:v>964</c:v>
                </c:pt>
                <c:pt idx="198">
                  <c:v>974</c:v>
                </c:pt>
                <c:pt idx="199">
                  <c:v>919</c:v>
                </c:pt>
                <c:pt idx="200">
                  <c:v>900</c:v>
                </c:pt>
                <c:pt idx="201">
                  <c:v>973</c:v>
                </c:pt>
                <c:pt idx="202">
                  <c:v>965</c:v>
                </c:pt>
                <c:pt idx="203">
                  <c:v>923</c:v>
                </c:pt>
                <c:pt idx="204">
                  <c:v>897</c:v>
                </c:pt>
                <c:pt idx="205">
                  <c:v>974</c:v>
                </c:pt>
                <c:pt idx="206">
                  <c:v>947</c:v>
                </c:pt>
                <c:pt idx="207">
                  <c:v>938</c:v>
                </c:pt>
                <c:pt idx="208">
                  <c:v>920</c:v>
                </c:pt>
                <c:pt idx="209">
                  <c:v>942</c:v>
                </c:pt>
                <c:pt idx="210">
                  <c:v>995</c:v>
                </c:pt>
                <c:pt idx="211">
                  <c:v>929</c:v>
                </c:pt>
                <c:pt idx="212">
                  <c:v>943</c:v>
                </c:pt>
                <c:pt idx="213">
                  <c:v>1022</c:v>
                </c:pt>
                <c:pt idx="214">
                  <c:v>969</c:v>
                </c:pt>
                <c:pt idx="215">
                  <c:v>939</c:v>
                </c:pt>
                <c:pt idx="216">
                  <c:v>922</c:v>
                </c:pt>
                <c:pt idx="217">
                  <c:v>968</c:v>
                </c:pt>
                <c:pt idx="218">
                  <c:v>983</c:v>
                </c:pt>
                <c:pt idx="219">
                  <c:v>938</c:v>
                </c:pt>
                <c:pt idx="220">
                  <c:v>912</c:v>
                </c:pt>
                <c:pt idx="221">
                  <c:v>971</c:v>
                </c:pt>
                <c:pt idx="222">
                  <c:v>975</c:v>
                </c:pt>
                <c:pt idx="223">
                  <c:v>942</c:v>
                </c:pt>
                <c:pt idx="224">
                  <c:v>950</c:v>
                </c:pt>
                <c:pt idx="225">
                  <c:v>1048</c:v>
                </c:pt>
                <c:pt idx="226">
                  <c:v>1006</c:v>
                </c:pt>
                <c:pt idx="227">
                  <c:v>999</c:v>
                </c:pt>
                <c:pt idx="228">
                  <c:v>974</c:v>
                </c:pt>
                <c:pt idx="229">
                  <c:v>1011</c:v>
                </c:pt>
                <c:pt idx="230">
                  <c:v>1020</c:v>
                </c:pt>
                <c:pt idx="231">
                  <c:v>972</c:v>
                </c:pt>
                <c:pt idx="232">
                  <c:v>959</c:v>
                </c:pt>
                <c:pt idx="233">
                  <c:v>1005</c:v>
                </c:pt>
                <c:pt idx="234">
                  <c:v>1048</c:v>
                </c:pt>
                <c:pt idx="235">
                  <c:v>996</c:v>
                </c:pt>
                <c:pt idx="236">
                  <c:v>973</c:v>
                </c:pt>
                <c:pt idx="237">
                  <c:v>1017</c:v>
                </c:pt>
                <c:pt idx="238">
                  <c:v>1010</c:v>
                </c:pt>
                <c:pt idx="239">
                  <c:v>976</c:v>
                </c:pt>
                <c:pt idx="240">
                  <c:v>991</c:v>
                </c:pt>
                <c:pt idx="241">
                  <c:v>1013</c:v>
                </c:pt>
                <c:pt idx="242">
                  <c:v>1029</c:v>
                </c:pt>
                <c:pt idx="243">
                  <c:v>974</c:v>
                </c:pt>
                <c:pt idx="244">
                  <c:v>979</c:v>
                </c:pt>
                <c:pt idx="245">
                  <c:v>1015</c:v>
                </c:pt>
                <c:pt idx="246">
                  <c:v>1021</c:v>
                </c:pt>
                <c:pt idx="247">
                  <c:v>1003</c:v>
                </c:pt>
                <c:pt idx="248">
                  <c:v>999</c:v>
                </c:pt>
                <c:pt idx="249">
                  <c:v>1021</c:v>
                </c:pt>
                <c:pt idx="250">
                  <c:v>1012</c:v>
                </c:pt>
                <c:pt idx="251">
                  <c:v>973</c:v>
                </c:pt>
                <c:pt idx="252">
                  <c:v>967</c:v>
                </c:pt>
                <c:pt idx="253">
                  <c:v>1024</c:v>
                </c:pt>
                <c:pt idx="254">
                  <c:v>1063</c:v>
                </c:pt>
                <c:pt idx="255">
                  <c:v>1000</c:v>
                </c:pt>
                <c:pt idx="256">
                  <c:v>983</c:v>
                </c:pt>
                <c:pt idx="257">
                  <c:v>1034</c:v>
                </c:pt>
                <c:pt idx="258">
                  <c:v>1046</c:v>
                </c:pt>
                <c:pt idx="259">
                  <c:v>1001</c:v>
                </c:pt>
                <c:pt idx="260">
                  <c:v>1020</c:v>
                </c:pt>
                <c:pt idx="261">
                  <c:v>1078</c:v>
                </c:pt>
                <c:pt idx="262">
                  <c:v>1083</c:v>
                </c:pt>
                <c:pt idx="263">
                  <c:v>1032</c:v>
                </c:pt>
                <c:pt idx="264">
                  <c:v>1043</c:v>
                </c:pt>
                <c:pt idx="265">
                  <c:v>1092</c:v>
                </c:pt>
                <c:pt idx="266">
                  <c:v>1090</c:v>
                </c:pt>
                <c:pt idx="267">
                  <c:v>1070</c:v>
                </c:pt>
                <c:pt idx="268">
                  <c:v>1000</c:v>
                </c:pt>
                <c:pt idx="269">
                  <c:v>1091</c:v>
                </c:pt>
                <c:pt idx="270">
                  <c:v>1086</c:v>
                </c:pt>
                <c:pt idx="271">
                  <c:v>1017</c:v>
                </c:pt>
                <c:pt idx="272">
                  <c:v>1013</c:v>
                </c:pt>
                <c:pt idx="273">
                  <c:v>1063</c:v>
                </c:pt>
                <c:pt idx="274">
                  <c:v>1084</c:v>
                </c:pt>
                <c:pt idx="275">
                  <c:v>1014</c:v>
                </c:pt>
                <c:pt idx="276">
                  <c:v>997</c:v>
                </c:pt>
                <c:pt idx="277">
                  <c:v>1097</c:v>
                </c:pt>
                <c:pt idx="278">
                  <c:v>1102</c:v>
                </c:pt>
                <c:pt idx="279">
                  <c:v>1018</c:v>
                </c:pt>
                <c:pt idx="280">
                  <c:v>1017</c:v>
                </c:pt>
                <c:pt idx="281">
                  <c:v>1069</c:v>
                </c:pt>
                <c:pt idx="282">
                  <c:v>1110</c:v>
                </c:pt>
                <c:pt idx="283">
                  <c:v>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3-426C-A392-C3EFB6870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527488"/>
        <c:axId val="959524576"/>
      </c:lineChart>
      <c:dateAx>
        <c:axId val="95952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24576"/>
        <c:crosses val="autoZero"/>
        <c:auto val="1"/>
        <c:lblOffset val="100"/>
        <c:baseTimeUnit val="months"/>
        <c:majorUnit val="5"/>
        <c:majorTimeUnit val="years"/>
      </c:dateAx>
      <c:valAx>
        <c:axId val="959524576"/>
        <c:scaling>
          <c:orientation val="minMax"/>
          <c:min val="6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/>
                  <a:t>Expenditure (thousands of dollars)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Expenditure from 1950 to 2020:</a:t>
            </a:r>
            <a:r>
              <a:rPr lang="en-US" baseline="0"/>
              <a:t> Log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Data150!$G$1</c:f>
              <c:strCache>
                <c:ptCount val="1"/>
                <c:pt idx="0">
                  <c:v>LogExpenditure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Data150!$G$2:$G$285</c:f>
              <c:numCache>
                <c:formatCode>0.00</c:formatCode>
                <c:ptCount val="284"/>
                <c:pt idx="0">
                  <c:v>6.5638555265321274</c:v>
                </c:pt>
                <c:pt idx="1">
                  <c:v>6.5381398237676702</c:v>
                </c:pt>
                <c:pt idx="2">
                  <c:v>6.5694814204142959</c:v>
                </c:pt>
                <c:pt idx="3">
                  <c:v>6.5072777123850116</c:v>
                </c:pt>
                <c:pt idx="4">
                  <c:v>6.4831073514571989</c:v>
                </c:pt>
                <c:pt idx="5">
                  <c:v>6.6012301187288767</c:v>
                </c:pt>
                <c:pt idx="6">
                  <c:v>6.5666724298032406</c:v>
                </c:pt>
                <c:pt idx="7">
                  <c:v>6.5323342922223491</c:v>
                </c:pt>
                <c:pt idx="8">
                  <c:v>6.5624440936937196</c:v>
                </c:pt>
                <c:pt idx="9">
                  <c:v>6.5750758405996201</c:v>
                </c:pt>
                <c:pt idx="10">
                  <c:v>6.5944134597497781</c:v>
                </c:pt>
                <c:pt idx="11">
                  <c:v>6.5250296578434623</c:v>
                </c:pt>
                <c:pt idx="12">
                  <c:v>6.5117453296447279</c:v>
                </c:pt>
                <c:pt idx="13">
                  <c:v>6.5820251388928259</c:v>
                </c:pt>
                <c:pt idx="14">
                  <c:v>6.5708829623395841</c:v>
                </c:pt>
                <c:pt idx="15">
                  <c:v>6.5250296578434623</c:v>
                </c:pt>
                <c:pt idx="16">
                  <c:v>6.5424719605068047</c:v>
                </c:pt>
                <c:pt idx="17">
                  <c:v>6.620073206530356</c:v>
                </c:pt>
                <c:pt idx="18">
                  <c:v>6.5722825426940075</c:v>
                </c:pt>
                <c:pt idx="19">
                  <c:v>6.5264948595707901</c:v>
                </c:pt>
                <c:pt idx="20">
                  <c:v>6.5680779114119758</c:v>
                </c:pt>
                <c:pt idx="21">
                  <c:v>6.6240652277998935</c:v>
                </c:pt>
                <c:pt idx="22">
                  <c:v>6.6214056517641344</c:v>
                </c:pt>
                <c:pt idx="23">
                  <c:v>6.5680779114119758</c:v>
                </c:pt>
                <c:pt idx="24">
                  <c:v>6.5308776277258849</c:v>
                </c:pt>
                <c:pt idx="25">
                  <c:v>6.6080006252960866</c:v>
                </c:pt>
                <c:pt idx="26">
                  <c:v>6.6463905148477291</c:v>
                </c:pt>
                <c:pt idx="27">
                  <c:v>6.5736801669606457</c:v>
                </c:pt>
                <c:pt idx="28">
                  <c:v>6.5395859556176692</c:v>
                </c:pt>
                <c:pt idx="29">
                  <c:v>6.6293632534374485</c:v>
                </c:pt>
                <c:pt idx="30">
                  <c:v>6.6631326959908028</c:v>
                </c:pt>
                <c:pt idx="31">
                  <c:v>6.577861357721047</c:v>
                </c:pt>
                <c:pt idx="32">
                  <c:v>6.522092798170152</c:v>
                </c:pt>
                <c:pt idx="33">
                  <c:v>6.6463905148477291</c:v>
                </c:pt>
                <c:pt idx="34">
                  <c:v>6.6320017773956303</c:v>
                </c:pt>
                <c:pt idx="35">
                  <c:v>6.5998704992128365</c:v>
                </c:pt>
                <c:pt idx="36">
                  <c:v>6.5944134597497781</c:v>
                </c:pt>
                <c:pt idx="37">
                  <c:v>6.6554403503676474</c:v>
                </c:pt>
                <c:pt idx="38">
                  <c:v>6.6515718735897273</c:v>
                </c:pt>
                <c:pt idx="39">
                  <c:v>6.6025878921893364</c:v>
                </c:pt>
                <c:pt idx="40">
                  <c:v>6.5652649700353614</c:v>
                </c:pt>
                <c:pt idx="41">
                  <c:v>6.6320017773956303</c:v>
                </c:pt>
                <c:pt idx="42">
                  <c:v>6.6463905148477291</c:v>
                </c:pt>
                <c:pt idx="43">
                  <c:v>6.5581978028122689</c:v>
                </c:pt>
                <c:pt idx="44">
                  <c:v>6.5889264775335192</c:v>
                </c:pt>
                <c:pt idx="45">
                  <c:v>6.6502790485874224</c:v>
                </c:pt>
                <c:pt idx="46">
                  <c:v>6.6346333578616861</c:v>
                </c:pt>
                <c:pt idx="47">
                  <c:v>6.5916737320086582</c:v>
                </c:pt>
                <c:pt idx="48">
                  <c:v>6.5834092221587648</c:v>
                </c:pt>
                <c:pt idx="49">
                  <c:v>6.6605751498396861</c:v>
                </c:pt>
                <c:pt idx="50">
                  <c:v>6.6398758338265358</c:v>
                </c:pt>
                <c:pt idx="51">
                  <c:v>6.5930445341424369</c:v>
                </c:pt>
                <c:pt idx="52">
                  <c:v>6.5680779114119758</c:v>
                </c:pt>
                <c:pt idx="53">
                  <c:v>6.7129562006770698</c:v>
                </c:pt>
                <c:pt idx="54">
                  <c:v>6.6808546787902152</c:v>
                </c:pt>
                <c:pt idx="55">
                  <c:v>6.6080006252960866</c:v>
                </c:pt>
                <c:pt idx="56">
                  <c:v>6.6052979209482015</c:v>
                </c:pt>
                <c:pt idx="57">
                  <c:v>6.6883547139467616</c:v>
                </c:pt>
                <c:pt idx="58">
                  <c:v>6.6592939196836376</c:v>
                </c:pt>
                <c:pt idx="59">
                  <c:v>6.5998704992128365</c:v>
                </c:pt>
                <c:pt idx="60">
                  <c:v>6.6080006252960866</c:v>
                </c:pt>
                <c:pt idx="61">
                  <c:v>6.6933236682699491</c:v>
                </c:pt>
                <c:pt idx="62">
                  <c:v>6.6908422774185636</c:v>
                </c:pt>
                <c:pt idx="63">
                  <c:v>6.6605751498396861</c:v>
                </c:pt>
                <c:pt idx="64">
                  <c:v>6.6160651851328174</c:v>
                </c:pt>
                <c:pt idx="65">
                  <c:v>6.7226297948554485</c:v>
                </c:pt>
                <c:pt idx="66">
                  <c:v>6.7226297948554485</c:v>
                </c:pt>
                <c:pt idx="67">
                  <c:v>6.6106960447177592</c:v>
                </c:pt>
                <c:pt idx="68">
                  <c:v>6.6120410348330916</c:v>
                </c:pt>
                <c:pt idx="69">
                  <c:v>6.6908422774185636</c:v>
                </c:pt>
                <c:pt idx="70">
                  <c:v>6.7226297948554485</c:v>
                </c:pt>
                <c:pt idx="71">
                  <c:v>6.6306833856423717</c:v>
                </c:pt>
                <c:pt idx="72">
                  <c:v>6.6174029779744776</c:v>
                </c:pt>
                <c:pt idx="73">
                  <c:v>6.6656837177824082</c:v>
                </c:pt>
                <c:pt idx="74">
                  <c:v>6.6437897331476723</c:v>
                </c:pt>
                <c:pt idx="75">
                  <c:v>6.6346333578616861</c:v>
                </c:pt>
                <c:pt idx="76">
                  <c:v>6.6346333578616861</c:v>
                </c:pt>
                <c:pt idx="77">
                  <c:v>6.6770834612471361</c:v>
                </c:pt>
                <c:pt idx="78">
                  <c:v>6.7165947735209777</c:v>
                </c:pt>
                <c:pt idx="79">
                  <c:v>6.6214056517641344</c:v>
                </c:pt>
                <c:pt idx="80">
                  <c:v>6.6147256002037604</c:v>
                </c:pt>
                <c:pt idx="81">
                  <c:v>6.678342114654332</c:v>
                </c:pt>
                <c:pt idx="82">
                  <c:v>6.7105231094524278</c:v>
                </c:pt>
                <c:pt idx="83">
                  <c:v>6.6580110458707482</c:v>
                </c:pt>
                <c:pt idx="84">
                  <c:v>6.5861716548546747</c:v>
                </c:pt>
                <c:pt idx="85">
                  <c:v>6.7068623366027467</c:v>
                </c:pt>
                <c:pt idx="86">
                  <c:v>6.7007311095478101</c:v>
                </c:pt>
                <c:pt idx="87">
                  <c:v>6.6253923680079563</c:v>
                </c:pt>
                <c:pt idx="88">
                  <c:v>6.5971457018866513</c:v>
                </c:pt>
                <c:pt idx="89">
                  <c:v>6.7044143549641069</c:v>
                </c:pt>
                <c:pt idx="90">
                  <c:v>6.7310181004820828</c:v>
                </c:pt>
                <c:pt idx="91">
                  <c:v>6.6398758338265358</c:v>
                </c:pt>
                <c:pt idx="92">
                  <c:v>6.6160651851328174</c:v>
                </c:pt>
                <c:pt idx="93">
                  <c:v>6.7165947735209777</c:v>
                </c:pt>
                <c:pt idx="94">
                  <c:v>6.7381524945959574</c:v>
                </c:pt>
                <c:pt idx="95">
                  <c:v>6.6502790485874224</c:v>
                </c:pt>
                <c:pt idx="96">
                  <c:v>6.6293632534374485</c:v>
                </c:pt>
                <c:pt idx="97">
                  <c:v>6.6554403503676474</c:v>
                </c:pt>
                <c:pt idx="98">
                  <c:v>6.6770834612471361</c:v>
                </c:pt>
                <c:pt idx="99">
                  <c:v>6.6567265241783913</c:v>
                </c:pt>
                <c:pt idx="100">
                  <c:v>6.6476883735633292</c:v>
                </c:pt>
                <c:pt idx="101">
                  <c:v>6.7262334023587469</c:v>
                </c:pt>
                <c:pt idx="102">
                  <c:v>6.7417006946520548</c:v>
                </c:pt>
                <c:pt idx="103">
                  <c:v>6.7202201551352951</c:v>
                </c:pt>
                <c:pt idx="104">
                  <c:v>6.6821085974498091</c:v>
                </c:pt>
                <c:pt idx="105">
                  <c:v>6.7557689219842549</c:v>
                </c:pt>
                <c:pt idx="106">
                  <c:v>6.7638849085624351</c:v>
                </c:pt>
                <c:pt idx="107">
                  <c:v>6.6656837177824082</c:v>
                </c:pt>
                <c:pt idx="108">
                  <c:v>6.6554403503676474</c:v>
                </c:pt>
                <c:pt idx="109">
                  <c:v>6.7117403950561796</c:v>
                </c:pt>
                <c:pt idx="110">
                  <c:v>6.7286286130847017</c:v>
                </c:pt>
                <c:pt idx="111">
                  <c:v>6.7105231094524278</c:v>
                </c:pt>
                <c:pt idx="112">
                  <c:v>6.674561391814426</c:v>
                </c:pt>
                <c:pt idx="113">
                  <c:v>6.7286286130847017</c:v>
                </c:pt>
                <c:pt idx="114">
                  <c:v>6.7464121285733745</c:v>
                </c:pt>
                <c:pt idx="115">
                  <c:v>6.6808546787902152</c:v>
                </c:pt>
                <c:pt idx="116">
                  <c:v>6.7310181004820828</c:v>
                </c:pt>
                <c:pt idx="117">
                  <c:v>6.7298240704894754</c:v>
                </c:pt>
                <c:pt idx="118">
                  <c:v>6.7557689219842549</c:v>
                </c:pt>
                <c:pt idx="119">
                  <c:v>6.6871086078665147</c:v>
                </c:pt>
                <c:pt idx="120">
                  <c:v>6.6795991858443831</c:v>
                </c:pt>
                <c:pt idx="121">
                  <c:v>6.7810576259361799</c:v>
                </c:pt>
                <c:pt idx="122">
                  <c:v>6.7250336421668431</c:v>
                </c:pt>
                <c:pt idx="123">
                  <c:v>6.6821085974498091</c:v>
                </c:pt>
                <c:pt idx="124">
                  <c:v>6.7202201551352951</c:v>
                </c:pt>
                <c:pt idx="125">
                  <c:v>6.7900972355139046</c:v>
                </c:pt>
                <c:pt idx="126">
                  <c:v>6.7511014689367599</c:v>
                </c:pt>
                <c:pt idx="127">
                  <c:v>6.7056390948600031</c:v>
                </c:pt>
                <c:pt idx="128">
                  <c:v>6.70196036600254</c:v>
                </c:pt>
                <c:pt idx="129">
                  <c:v>6.7440591863113477</c:v>
                </c:pt>
                <c:pt idx="130">
                  <c:v>6.7417006946520548</c:v>
                </c:pt>
                <c:pt idx="131">
                  <c:v>6.7153833863346808</c:v>
                </c:pt>
                <c:pt idx="132">
                  <c:v>6.692083742506628</c:v>
                </c:pt>
                <c:pt idx="133">
                  <c:v>6.7381524945959574</c:v>
                </c:pt>
                <c:pt idx="134">
                  <c:v>6.7661917146603505</c:v>
                </c:pt>
                <c:pt idx="135">
                  <c:v>6.7274317248508551</c:v>
                </c:pt>
                <c:pt idx="136">
                  <c:v>6.7250336421668431</c:v>
                </c:pt>
                <c:pt idx="137">
                  <c:v>6.7810576259361799</c:v>
                </c:pt>
                <c:pt idx="138">
                  <c:v>6.7945865808764987</c:v>
                </c:pt>
                <c:pt idx="139">
                  <c:v>6.7452363494843626</c:v>
                </c:pt>
                <c:pt idx="140">
                  <c:v>6.7322107064672059</c:v>
                </c:pt>
                <c:pt idx="141">
                  <c:v>6.7855876450079293</c:v>
                </c:pt>
                <c:pt idx="142">
                  <c:v>6.7844570626376433</c:v>
                </c:pt>
                <c:pt idx="143">
                  <c:v>6.694562058521095</c:v>
                </c:pt>
                <c:pt idx="144">
                  <c:v>6.7557689219842549</c:v>
                </c:pt>
                <c:pt idx="145">
                  <c:v>6.816735880594968</c:v>
                </c:pt>
                <c:pt idx="146">
                  <c:v>6.7627295069318789</c:v>
                </c:pt>
                <c:pt idx="147">
                  <c:v>6.7286286130847017</c:v>
                </c:pt>
                <c:pt idx="148">
                  <c:v>6.7080840838530698</c:v>
                </c:pt>
                <c:pt idx="149">
                  <c:v>6.7889717429921701</c:v>
                </c:pt>
                <c:pt idx="150">
                  <c:v>6.7968237182748554</c:v>
                </c:pt>
                <c:pt idx="151">
                  <c:v>6.7546040994879624</c:v>
                </c:pt>
                <c:pt idx="152">
                  <c:v>6.7238324408212087</c:v>
                </c:pt>
                <c:pt idx="153">
                  <c:v>6.7810576259361799</c:v>
                </c:pt>
                <c:pt idx="154">
                  <c:v>6.7889717429921701</c:v>
                </c:pt>
                <c:pt idx="155">
                  <c:v>6.7546040994879624</c:v>
                </c:pt>
                <c:pt idx="156">
                  <c:v>6.7068623366027467</c:v>
                </c:pt>
                <c:pt idx="157">
                  <c:v>6.80128303447162</c:v>
                </c:pt>
                <c:pt idx="158">
                  <c:v>6.8134445995108956</c:v>
                </c:pt>
                <c:pt idx="159">
                  <c:v>6.752270376141742</c:v>
                </c:pt>
                <c:pt idx="160">
                  <c:v>6.7357800142423265</c:v>
                </c:pt>
                <c:pt idx="161">
                  <c:v>6.7979404129749303</c:v>
                </c:pt>
                <c:pt idx="162">
                  <c:v>6.8101424501151362</c:v>
                </c:pt>
                <c:pt idx="163">
                  <c:v>6.7569323892475532</c:v>
                </c:pt>
                <c:pt idx="164">
                  <c:v>6.7475865268293154</c:v>
                </c:pt>
                <c:pt idx="165">
                  <c:v>6.816735880594968</c:v>
                </c:pt>
                <c:pt idx="166">
                  <c:v>6.8490662826334576</c:v>
                </c:pt>
                <c:pt idx="167">
                  <c:v>6.7627295069318789</c:v>
                </c:pt>
                <c:pt idx="168">
                  <c:v>6.7833252006039597</c:v>
                </c:pt>
                <c:pt idx="169">
                  <c:v>6.8079349436999257</c:v>
                </c:pt>
                <c:pt idx="170">
                  <c:v>6.8243736700430864</c:v>
                </c:pt>
                <c:pt idx="171">
                  <c:v>6.815639990074331</c:v>
                </c:pt>
                <c:pt idx="172">
                  <c:v>6.7776465936351169</c:v>
                </c:pt>
                <c:pt idx="173">
                  <c:v>6.831953565565855</c:v>
                </c:pt>
                <c:pt idx="174">
                  <c:v>6.828712071641684</c:v>
                </c:pt>
                <c:pt idx="175">
                  <c:v>6.7923444274708089</c:v>
                </c:pt>
                <c:pt idx="176">
                  <c:v>6.7742238863576141</c:v>
                </c:pt>
                <c:pt idx="177">
                  <c:v>6.8330317327862007</c:v>
                </c:pt>
                <c:pt idx="178">
                  <c:v>6.8362592772770672</c:v>
                </c:pt>
                <c:pt idx="179">
                  <c:v>6.8090393060429797</c:v>
                </c:pt>
                <c:pt idx="180">
                  <c:v>6.7707894239089796</c:v>
                </c:pt>
                <c:pt idx="181">
                  <c:v>6.8200163646741299</c:v>
                </c:pt>
                <c:pt idx="182">
                  <c:v>6.8585650347913649</c:v>
                </c:pt>
                <c:pt idx="183">
                  <c:v>6.7833252006039597</c:v>
                </c:pt>
                <c:pt idx="184">
                  <c:v>6.7730803756555353</c:v>
                </c:pt>
                <c:pt idx="185">
                  <c:v>6.8469431395853793</c:v>
                </c:pt>
                <c:pt idx="186">
                  <c:v>6.8554087986099281</c:v>
                </c:pt>
                <c:pt idx="187">
                  <c:v>6.8511849274937431</c:v>
                </c:pt>
                <c:pt idx="188">
                  <c:v>6.8394764382288429</c:v>
                </c:pt>
                <c:pt idx="189">
                  <c:v>6.9157234486313142</c:v>
                </c:pt>
                <c:pt idx="190">
                  <c:v>6.8721281013389861</c:v>
                </c:pt>
                <c:pt idx="191">
                  <c:v>6.8243736700430864</c:v>
                </c:pt>
                <c:pt idx="192">
                  <c:v>6.7889717429921701</c:v>
                </c:pt>
                <c:pt idx="193">
                  <c:v>6.8803840821860049</c:v>
                </c:pt>
                <c:pt idx="194">
                  <c:v>6.9087547793152204</c:v>
                </c:pt>
                <c:pt idx="195">
                  <c:v>6.8243736700430864</c:v>
                </c:pt>
                <c:pt idx="196">
                  <c:v>6.7889717429921701</c:v>
                </c:pt>
                <c:pt idx="197">
                  <c:v>6.8710912946105456</c:v>
                </c:pt>
                <c:pt idx="198">
                  <c:v>6.8814113036425351</c:v>
                </c:pt>
                <c:pt idx="199">
                  <c:v>6.8232861223556869</c:v>
                </c:pt>
                <c:pt idx="200">
                  <c:v>6.8023947633243109</c:v>
                </c:pt>
                <c:pt idx="201">
                  <c:v>6.8803840821860049</c:v>
                </c:pt>
                <c:pt idx="202">
                  <c:v>6.8721281013389861</c:v>
                </c:pt>
                <c:pt idx="203">
                  <c:v>6.8276292345028518</c:v>
                </c:pt>
                <c:pt idx="204">
                  <c:v>6.799055862058796</c:v>
                </c:pt>
                <c:pt idx="205">
                  <c:v>6.8814113036425351</c:v>
                </c:pt>
                <c:pt idx="206">
                  <c:v>6.8532990931860782</c:v>
                </c:pt>
                <c:pt idx="207">
                  <c:v>6.8437499490062246</c:v>
                </c:pt>
                <c:pt idx="208">
                  <c:v>6.8243736700430864</c:v>
                </c:pt>
                <c:pt idx="209">
                  <c:v>6.8480052745763631</c:v>
                </c:pt>
                <c:pt idx="210">
                  <c:v>6.9027427371585928</c:v>
                </c:pt>
                <c:pt idx="211">
                  <c:v>6.8341087388138382</c:v>
                </c:pt>
                <c:pt idx="212">
                  <c:v>6.8490662826334576</c:v>
                </c:pt>
                <c:pt idx="213">
                  <c:v>6.9295167707636498</c:v>
                </c:pt>
                <c:pt idx="214">
                  <c:v>6.8762646118907664</c:v>
                </c:pt>
                <c:pt idx="215">
                  <c:v>6.8448154792082629</c:v>
                </c:pt>
                <c:pt idx="216">
                  <c:v>6.826545223556594</c:v>
                </c:pt>
                <c:pt idx="217">
                  <c:v>6.8752320872765766</c:v>
                </c:pt>
                <c:pt idx="218">
                  <c:v>6.8906091201471664</c:v>
                </c:pt>
                <c:pt idx="219">
                  <c:v>6.8437499490062246</c:v>
                </c:pt>
                <c:pt idx="220">
                  <c:v>6.815639990074331</c:v>
                </c:pt>
                <c:pt idx="221">
                  <c:v>6.8783264682913252</c:v>
                </c:pt>
                <c:pt idx="222">
                  <c:v>6.8824374709978473</c:v>
                </c:pt>
                <c:pt idx="223">
                  <c:v>6.8480052745763631</c:v>
                </c:pt>
                <c:pt idx="224">
                  <c:v>6.8564619845945867</c:v>
                </c:pt>
                <c:pt idx="225">
                  <c:v>6.9546388648809874</c:v>
                </c:pt>
                <c:pt idx="226">
                  <c:v>6.9137373506596846</c:v>
                </c:pt>
                <c:pt idx="227">
                  <c:v>6.9067547786485539</c:v>
                </c:pt>
                <c:pt idx="228">
                  <c:v>6.8814113036425351</c:v>
                </c:pt>
                <c:pt idx="229">
                  <c:v>6.9186952190204716</c:v>
                </c:pt>
                <c:pt idx="230">
                  <c:v>6.9275579062783166</c:v>
                </c:pt>
                <c:pt idx="231">
                  <c:v>6.879355804460439</c:v>
                </c:pt>
                <c:pt idx="232">
                  <c:v>6.8658910748834385</c:v>
                </c:pt>
                <c:pt idx="233">
                  <c:v>6.9127428204931762</c:v>
                </c:pt>
                <c:pt idx="234">
                  <c:v>6.9546388648809874</c:v>
                </c:pt>
                <c:pt idx="235">
                  <c:v>6.9037472575845982</c:v>
                </c:pt>
                <c:pt idx="236">
                  <c:v>6.8803840821860049</c:v>
                </c:pt>
                <c:pt idx="237">
                  <c:v>6.9246123960485599</c:v>
                </c:pt>
                <c:pt idx="238">
                  <c:v>6.9177056098353047</c:v>
                </c:pt>
                <c:pt idx="239">
                  <c:v>6.8834625864130921</c:v>
                </c:pt>
                <c:pt idx="240">
                  <c:v>6.8987145343299883</c:v>
                </c:pt>
                <c:pt idx="241">
                  <c:v>6.9206715042486833</c:v>
                </c:pt>
                <c:pt idx="242">
                  <c:v>6.9363427358340495</c:v>
                </c:pt>
                <c:pt idx="243">
                  <c:v>6.8814113036425351</c:v>
                </c:pt>
                <c:pt idx="244">
                  <c:v>6.8865316425305103</c:v>
                </c:pt>
                <c:pt idx="245">
                  <c:v>6.9226438914758877</c:v>
                </c:pt>
                <c:pt idx="246">
                  <c:v>6.9285378181646653</c:v>
                </c:pt>
                <c:pt idx="247">
                  <c:v>6.9107507879619359</c:v>
                </c:pt>
                <c:pt idx="248">
                  <c:v>6.9067547786485539</c:v>
                </c:pt>
                <c:pt idx="249">
                  <c:v>6.9285378181646653</c:v>
                </c:pt>
                <c:pt idx="250">
                  <c:v>6.9196838498474111</c:v>
                </c:pt>
                <c:pt idx="251">
                  <c:v>6.8803840821860049</c:v>
                </c:pt>
                <c:pt idx="252">
                  <c:v>6.8741984954532942</c:v>
                </c:pt>
                <c:pt idx="253">
                  <c:v>6.9314718055994531</c:v>
                </c:pt>
                <c:pt idx="254">
                  <c:v>6.9688503783419478</c:v>
                </c:pt>
                <c:pt idx="255">
                  <c:v>6.9077552789821368</c:v>
                </c:pt>
                <c:pt idx="256">
                  <c:v>6.8906091201471664</c:v>
                </c:pt>
                <c:pt idx="257">
                  <c:v>6.9411900550683745</c:v>
                </c:pt>
                <c:pt idx="258">
                  <c:v>6.9527286446248686</c:v>
                </c:pt>
                <c:pt idx="259">
                  <c:v>6.9087547793152204</c:v>
                </c:pt>
                <c:pt idx="260">
                  <c:v>6.9275579062783166</c:v>
                </c:pt>
                <c:pt idx="261">
                  <c:v>6.9828627514689421</c:v>
                </c:pt>
                <c:pt idx="262">
                  <c:v>6.9874902470009905</c:v>
                </c:pt>
                <c:pt idx="263">
                  <c:v>6.9392539460415081</c:v>
                </c:pt>
                <c:pt idx="264">
                  <c:v>6.9498564550007726</c:v>
                </c:pt>
                <c:pt idx="265">
                  <c:v>6.9957661563048505</c:v>
                </c:pt>
                <c:pt idx="266">
                  <c:v>6.9939329752231894</c:v>
                </c:pt>
                <c:pt idx="267">
                  <c:v>6.9754139274559517</c:v>
                </c:pt>
                <c:pt idx="268">
                  <c:v>6.9077552789821368</c:v>
                </c:pt>
                <c:pt idx="269">
                  <c:v>6.9948499858330706</c:v>
                </c:pt>
                <c:pt idx="270">
                  <c:v>6.9902565004938806</c:v>
                </c:pt>
                <c:pt idx="271">
                  <c:v>6.9246123960485599</c:v>
                </c:pt>
                <c:pt idx="272">
                  <c:v>6.9206715042486833</c:v>
                </c:pt>
                <c:pt idx="273">
                  <c:v>6.9688503783419478</c:v>
                </c:pt>
                <c:pt idx="274">
                  <c:v>6.9884131819995918</c:v>
                </c:pt>
                <c:pt idx="275">
                  <c:v>6.9216581841511289</c:v>
                </c:pt>
                <c:pt idx="276">
                  <c:v>6.9047507699618382</c:v>
                </c:pt>
                <c:pt idx="277">
                  <c:v>7.00033446027523</c:v>
                </c:pt>
                <c:pt idx="278">
                  <c:v>7.0048819897128594</c:v>
                </c:pt>
                <c:pt idx="279">
                  <c:v>6.9255951971104679</c:v>
                </c:pt>
                <c:pt idx="280">
                  <c:v>6.9246123960485599</c:v>
                </c:pt>
                <c:pt idx="281">
                  <c:v>6.9744789110250451</c:v>
                </c:pt>
                <c:pt idx="282">
                  <c:v>7.0121152943063798</c:v>
                </c:pt>
                <c:pt idx="283">
                  <c:v>6.9874902470009905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F-4510-A1BE-8C95CB3F4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578240"/>
        <c:axId val="959579904"/>
      </c:lineChart>
      <c:dateAx>
        <c:axId val="959578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79904"/>
        <c:crosses val="autoZero"/>
        <c:auto val="1"/>
        <c:lblOffset val="100"/>
        <c:baseTimeUnit val="months"/>
        <c:majorUnit val="5"/>
        <c:majorTimeUnit val="years"/>
      </c:dateAx>
      <c:valAx>
        <c:axId val="959579904"/>
        <c:scaling>
          <c:orientation val="minMax"/>
          <c:max val="7.05"/>
          <c:min val="6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Annualized</a:t>
            </a:r>
            <a:r>
              <a:rPr lang="en-US" baseline="0"/>
              <a:t> Growth Rate of Consumption Expenditure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Data150!$I$1</c:f>
              <c:strCache>
                <c:ptCount val="1"/>
                <c:pt idx="0">
                  <c:v>gt.a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Data150!$C$3:$C$285</c:f>
              <c:numCache>
                <c:formatCode>m/d/yyyy</c:formatCode>
                <c:ptCount val="283"/>
                <c:pt idx="0">
                  <c:v>18398</c:v>
                </c:pt>
                <c:pt idx="1">
                  <c:v>18490</c:v>
                </c:pt>
                <c:pt idx="2">
                  <c:v>18582</c:v>
                </c:pt>
                <c:pt idx="3">
                  <c:v>18674</c:v>
                </c:pt>
                <c:pt idx="4">
                  <c:v>18763</c:v>
                </c:pt>
                <c:pt idx="5">
                  <c:v>18855</c:v>
                </c:pt>
                <c:pt idx="6">
                  <c:v>18947</c:v>
                </c:pt>
                <c:pt idx="7">
                  <c:v>19039</c:v>
                </c:pt>
                <c:pt idx="8">
                  <c:v>19129</c:v>
                </c:pt>
                <c:pt idx="9">
                  <c:v>19221</c:v>
                </c:pt>
                <c:pt idx="10">
                  <c:v>19313</c:v>
                </c:pt>
                <c:pt idx="11">
                  <c:v>19405</c:v>
                </c:pt>
                <c:pt idx="12">
                  <c:v>19494</c:v>
                </c:pt>
                <c:pt idx="13">
                  <c:v>19586</c:v>
                </c:pt>
                <c:pt idx="14">
                  <c:v>19678</c:v>
                </c:pt>
                <c:pt idx="15">
                  <c:v>19770</c:v>
                </c:pt>
                <c:pt idx="16">
                  <c:v>19859</c:v>
                </c:pt>
                <c:pt idx="17">
                  <c:v>19951</c:v>
                </c:pt>
                <c:pt idx="18">
                  <c:v>20043</c:v>
                </c:pt>
                <c:pt idx="19">
                  <c:v>20135</c:v>
                </c:pt>
                <c:pt idx="20">
                  <c:v>20224</c:v>
                </c:pt>
                <c:pt idx="21">
                  <c:v>20316</c:v>
                </c:pt>
                <c:pt idx="22">
                  <c:v>20408</c:v>
                </c:pt>
                <c:pt idx="23">
                  <c:v>20500</c:v>
                </c:pt>
                <c:pt idx="24">
                  <c:v>20590</c:v>
                </c:pt>
                <c:pt idx="25">
                  <c:v>20682</c:v>
                </c:pt>
                <c:pt idx="26">
                  <c:v>20774</c:v>
                </c:pt>
                <c:pt idx="27">
                  <c:v>20866</c:v>
                </c:pt>
                <c:pt idx="28">
                  <c:v>20955</c:v>
                </c:pt>
                <c:pt idx="29">
                  <c:v>21047</c:v>
                </c:pt>
                <c:pt idx="30">
                  <c:v>21139</c:v>
                </c:pt>
                <c:pt idx="31">
                  <c:v>21231</c:v>
                </c:pt>
                <c:pt idx="32">
                  <c:v>21320</c:v>
                </c:pt>
                <c:pt idx="33">
                  <c:v>21412</c:v>
                </c:pt>
                <c:pt idx="34">
                  <c:v>21504</c:v>
                </c:pt>
                <c:pt idx="35">
                  <c:v>21596</c:v>
                </c:pt>
                <c:pt idx="36">
                  <c:v>21685</c:v>
                </c:pt>
                <c:pt idx="37">
                  <c:v>21777</c:v>
                </c:pt>
                <c:pt idx="38">
                  <c:v>21869</c:v>
                </c:pt>
                <c:pt idx="39">
                  <c:v>21961</c:v>
                </c:pt>
                <c:pt idx="40">
                  <c:v>22051</c:v>
                </c:pt>
                <c:pt idx="41">
                  <c:v>22143</c:v>
                </c:pt>
                <c:pt idx="42">
                  <c:v>22235</c:v>
                </c:pt>
                <c:pt idx="43">
                  <c:v>22327</c:v>
                </c:pt>
                <c:pt idx="44">
                  <c:v>22416</c:v>
                </c:pt>
                <c:pt idx="45">
                  <c:v>22508</c:v>
                </c:pt>
                <c:pt idx="46">
                  <c:v>22600</c:v>
                </c:pt>
                <c:pt idx="47">
                  <c:v>22692</c:v>
                </c:pt>
                <c:pt idx="48">
                  <c:v>22781</c:v>
                </c:pt>
                <c:pt idx="49">
                  <c:v>22873</c:v>
                </c:pt>
                <c:pt idx="50">
                  <c:v>22965</c:v>
                </c:pt>
                <c:pt idx="51">
                  <c:v>23057</c:v>
                </c:pt>
                <c:pt idx="52">
                  <c:v>23146</c:v>
                </c:pt>
                <c:pt idx="53">
                  <c:v>23238</c:v>
                </c:pt>
                <c:pt idx="54">
                  <c:v>23330</c:v>
                </c:pt>
                <c:pt idx="55">
                  <c:v>23422</c:v>
                </c:pt>
                <c:pt idx="56">
                  <c:v>23512</c:v>
                </c:pt>
                <c:pt idx="57">
                  <c:v>23604</c:v>
                </c:pt>
                <c:pt idx="58">
                  <c:v>23696</c:v>
                </c:pt>
                <c:pt idx="59">
                  <c:v>23788</c:v>
                </c:pt>
                <c:pt idx="60">
                  <c:v>23877</c:v>
                </c:pt>
                <c:pt idx="61">
                  <c:v>23969</c:v>
                </c:pt>
                <c:pt idx="62">
                  <c:v>24061</c:v>
                </c:pt>
                <c:pt idx="63">
                  <c:v>24153</c:v>
                </c:pt>
                <c:pt idx="64">
                  <c:v>24242</c:v>
                </c:pt>
                <c:pt idx="65">
                  <c:v>24334</c:v>
                </c:pt>
                <c:pt idx="66">
                  <c:v>24426</c:v>
                </c:pt>
                <c:pt idx="67">
                  <c:v>24518</c:v>
                </c:pt>
                <c:pt idx="68">
                  <c:v>24607</c:v>
                </c:pt>
                <c:pt idx="69">
                  <c:v>24699</c:v>
                </c:pt>
                <c:pt idx="70">
                  <c:v>24791</c:v>
                </c:pt>
                <c:pt idx="71">
                  <c:v>24883</c:v>
                </c:pt>
                <c:pt idx="72">
                  <c:v>24973</c:v>
                </c:pt>
                <c:pt idx="73">
                  <c:v>25065</c:v>
                </c:pt>
                <c:pt idx="74">
                  <c:v>25157</c:v>
                </c:pt>
                <c:pt idx="75">
                  <c:v>25249</c:v>
                </c:pt>
                <c:pt idx="76">
                  <c:v>25338</c:v>
                </c:pt>
                <c:pt idx="77">
                  <c:v>25430</c:v>
                </c:pt>
                <c:pt idx="78">
                  <c:v>25522</c:v>
                </c:pt>
                <c:pt idx="79">
                  <c:v>25614</c:v>
                </c:pt>
                <c:pt idx="80">
                  <c:v>25703</c:v>
                </c:pt>
                <c:pt idx="81">
                  <c:v>25795</c:v>
                </c:pt>
                <c:pt idx="82">
                  <c:v>25887</c:v>
                </c:pt>
                <c:pt idx="83">
                  <c:v>25979</c:v>
                </c:pt>
                <c:pt idx="84">
                  <c:v>26068</c:v>
                </c:pt>
                <c:pt idx="85">
                  <c:v>26160</c:v>
                </c:pt>
                <c:pt idx="86">
                  <c:v>26252</c:v>
                </c:pt>
                <c:pt idx="87">
                  <c:v>26344</c:v>
                </c:pt>
                <c:pt idx="88">
                  <c:v>26434</c:v>
                </c:pt>
                <c:pt idx="89">
                  <c:v>26526</c:v>
                </c:pt>
                <c:pt idx="90">
                  <c:v>26618</c:v>
                </c:pt>
                <c:pt idx="91">
                  <c:v>26710</c:v>
                </c:pt>
                <c:pt idx="92">
                  <c:v>26799</c:v>
                </c:pt>
                <c:pt idx="93">
                  <c:v>26891</c:v>
                </c:pt>
                <c:pt idx="94">
                  <c:v>26983</c:v>
                </c:pt>
                <c:pt idx="95">
                  <c:v>27075</c:v>
                </c:pt>
                <c:pt idx="96">
                  <c:v>27164</c:v>
                </c:pt>
                <c:pt idx="97">
                  <c:v>27256</c:v>
                </c:pt>
                <c:pt idx="98">
                  <c:v>27348</c:v>
                </c:pt>
                <c:pt idx="99">
                  <c:v>27440</c:v>
                </c:pt>
                <c:pt idx="100">
                  <c:v>27529</c:v>
                </c:pt>
                <c:pt idx="101">
                  <c:v>27621</c:v>
                </c:pt>
                <c:pt idx="102">
                  <c:v>27713</c:v>
                </c:pt>
                <c:pt idx="103">
                  <c:v>27805</c:v>
                </c:pt>
                <c:pt idx="104">
                  <c:v>27895</c:v>
                </c:pt>
                <c:pt idx="105">
                  <c:v>27987</c:v>
                </c:pt>
                <c:pt idx="106">
                  <c:v>28079</c:v>
                </c:pt>
                <c:pt idx="107">
                  <c:v>28171</c:v>
                </c:pt>
                <c:pt idx="108">
                  <c:v>28260</c:v>
                </c:pt>
                <c:pt idx="109">
                  <c:v>28352</c:v>
                </c:pt>
                <c:pt idx="110">
                  <c:v>28444</c:v>
                </c:pt>
                <c:pt idx="111">
                  <c:v>28536</c:v>
                </c:pt>
                <c:pt idx="112">
                  <c:v>28625</c:v>
                </c:pt>
                <c:pt idx="113">
                  <c:v>28717</c:v>
                </c:pt>
                <c:pt idx="114">
                  <c:v>28809</c:v>
                </c:pt>
                <c:pt idx="115">
                  <c:v>28901</c:v>
                </c:pt>
                <c:pt idx="116">
                  <c:v>28990</c:v>
                </c:pt>
                <c:pt idx="117">
                  <c:v>29082</c:v>
                </c:pt>
                <c:pt idx="118">
                  <c:v>29174</c:v>
                </c:pt>
                <c:pt idx="119">
                  <c:v>29266</c:v>
                </c:pt>
                <c:pt idx="120">
                  <c:v>29356</c:v>
                </c:pt>
                <c:pt idx="121">
                  <c:v>29448</c:v>
                </c:pt>
                <c:pt idx="122">
                  <c:v>29540</c:v>
                </c:pt>
                <c:pt idx="123">
                  <c:v>29632</c:v>
                </c:pt>
                <c:pt idx="124">
                  <c:v>29721</c:v>
                </c:pt>
                <c:pt idx="125">
                  <c:v>29813</c:v>
                </c:pt>
                <c:pt idx="126">
                  <c:v>29905</c:v>
                </c:pt>
                <c:pt idx="127">
                  <c:v>29997</c:v>
                </c:pt>
                <c:pt idx="128">
                  <c:v>30086</c:v>
                </c:pt>
                <c:pt idx="129">
                  <c:v>30178</c:v>
                </c:pt>
                <c:pt idx="130">
                  <c:v>30270</c:v>
                </c:pt>
                <c:pt idx="131">
                  <c:v>30362</c:v>
                </c:pt>
                <c:pt idx="132">
                  <c:v>30451</c:v>
                </c:pt>
                <c:pt idx="133">
                  <c:v>30543</c:v>
                </c:pt>
                <c:pt idx="134">
                  <c:v>30635</c:v>
                </c:pt>
                <c:pt idx="135">
                  <c:v>30727</c:v>
                </c:pt>
                <c:pt idx="136">
                  <c:v>30817</c:v>
                </c:pt>
                <c:pt idx="137">
                  <c:v>30909</c:v>
                </c:pt>
                <c:pt idx="138">
                  <c:v>31001</c:v>
                </c:pt>
                <c:pt idx="139">
                  <c:v>31093</c:v>
                </c:pt>
                <c:pt idx="140">
                  <c:v>31182</c:v>
                </c:pt>
                <c:pt idx="141">
                  <c:v>31274</c:v>
                </c:pt>
                <c:pt idx="142">
                  <c:v>31366</c:v>
                </c:pt>
                <c:pt idx="143">
                  <c:v>31458</c:v>
                </c:pt>
                <c:pt idx="144">
                  <c:v>31547</c:v>
                </c:pt>
                <c:pt idx="145">
                  <c:v>31639</c:v>
                </c:pt>
                <c:pt idx="146">
                  <c:v>31731</c:v>
                </c:pt>
                <c:pt idx="147">
                  <c:v>31823</c:v>
                </c:pt>
                <c:pt idx="148">
                  <c:v>31912</c:v>
                </c:pt>
                <c:pt idx="149">
                  <c:v>32004</c:v>
                </c:pt>
                <c:pt idx="150">
                  <c:v>32096</c:v>
                </c:pt>
                <c:pt idx="151">
                  <c:v>32188</c:v>
                </c:pt>
                <c:pt idx="152">
                  <c:v>32278</c:v>
                </c:pt>
                <c:pt idx="153">
                  <c:v>32370</c:v>
                </c:pt>
                <c:pt idx="154">
                  <c:v>32462</c:v>
                </c:pt>
                <c:pt idx="155">
                  <c:v>32554</c:v>
                </c:pt>
                <c:pt idx="156">
                  <c:v>32643</c:v>
                </c:pt>
                <c:pt idx="157">
                  <c:v>32735</c:v>
                </c:pt>
                <c:pt idx="158">
                  <c:v>32827</c:v>
                </c:pt>
                <c:pt idx="159">
                  <c:v>32919</c:v>
                </c:pt>
                <c:pt idx="160">
                  <c:v>33008</c:v>
                </c:pt>
                <c:pt idx="161">
                  <c:v>33100</c:v>
                </c:pt>
                <c:pt idx="162">
                  <c:v>33192</c:v>
                </c:pt>
                <c:pt idx="163">
                  <c:v>33284</c:v>
                </c:pt>
                <c:pt idx="164">
                  <c:v>33373</c:v>
                </c:pt>
                <c:pt idx="165">
                  <c:v>33465</c:v>
                </c:pt>
                <c:pt idx="166">
                  <c:v>33557</c:v>
                </c:pt>
                <c:pt idx="167">
                  <c:v>33649</c:v>
                </c:pt>
                <c:pt idx="168">
                  <c:v>33739</c:v>
                </c:pt>
                <c:pt idx="169">
                  <c:v>33831</c:v>
                </c:pt>
                <c:pt idx="170">
                  <c:v>33923</c:v>
                </c:pt>
                <c:pt idx="171">
                  <c:v>34015</c:v>
                </c:pt>
                <c:pt idx="172">
                  <c:v>34104</c:v>
                </c:pt>
                <c:pt idx="173">
                  <c:v>34196</c:v>
                </c:pt>
                <c:pt idx="174">
                  <c:v>34288</c:v>
                </c:pt>
                <c:pt idx="175">
                  <c:v>34380</c:v>
                </c:pt>
                <c:pt idx="176">
                  <c:v>34469</c:v>
                </c:pt>
                <c:pt idx="177">
                  <c:v>34561</c:v>
                </c:pt>
                <c:pt idx="178">
                  <c:v>34653</c:v>
                </c:pt>
                <c:pt idx="179">
                  <c:v>34745</c:v>
                </c:pt>
                <c:pt idx="180">
                  <c:v>34834</c:v>
                </c:pt>
                <c:pt idx="181">
                  <c:v>34926</c:v>
                </c:pt>
                <c:pt idx="182">
                  <c:v>35018</c:v>
                </c:pt>
                <c:pt idx="183">
                  <c:v>35110</c:v>
                </c:pt>
                <c:pt idx="184">
                  <c:v>35200</c:v>
                </c:pt>
                <c:pt idx="185">
                  <c:v>35292</c:v>
                </c:pt>
                <c:pt idx="186">
                  <c:v>35384</c:v>
                </c:pt>
                <c:pt idx="187">
                  <c:v>35476</c:v>
                </c:pt>
                <c:pt idx="188">
                  <c:v>35565</c:v>
                </c:pt>
                <c:pt idx="189">
                  <c:v>35657</c:v>
                </c:pt>
                <c:pt idx="190">
                  <c:v>35749</c:v>
                </c:pt>
                <c:pt idx="191">
                  <c:v>35841</c:v>
                </c:pt>
                <c:pt idx="192">
                  <c:v>35930</c:v>
                </c:pt>
                <c:pt idx="193">
                  <c:v>36022</c:v>
                </c:pt>
                <c:pt idx="194">
                  <c:v>36114</c:v>
                </c:pt>
                <c:pt idx="195">
                  <c:v>36206</c:v>
                </c:pt>
                <c:pt idx="196">
                  <c:v>36295</c:v>
                </c:pt>
                <c:pt idx="197">
                  <c:v>36387</c:v>
                </c:pt>
                <c:pt idx="198">
                  <c:v>36479</c:v>
                </c:pt>
                <c:pt idx="199">
                  <c:v>36571</c:v>
                </c:pt>
                <c:pt idx="200">
                  <c:v>36661</c:v>
                </c:pt>
                <c:pt idx="201">
                  <c:v>36753</c:v>
                </c:pt>
                <c:pt idx="202">
                  <c:v>36845</c:v>
                </c:pt>
                <c:pt idx="203">
                  <c:v>36937</c:v>
                </c:pt>
                <c:pt idx="204">
                  <c:v>37026</c:v>
                </c:pt>
                <c:pt idx="205">
                  <c:v>37118</c:v>
                </c:pt>
                <c:pt idx="206">
                  <c:v>37210</c:v>
                </c:pt>
                <c:pt idx="207">
                  <c:v>37302</c:v>
                </c:pt>
                <c:pt idx="208">
                  <c:v>37391</c:v>
                </c:pt>
                <c:pt idx="209">
                  <c:v>37483</c:v>
                </c:pt>
                <c:pt idx="210">
                  <c:v>37575</c:v>
                </c:pt>
                <c:pt idx="211">
                  <c:v>37667</c:v>
                </c:pt>
                <c:pt idx="212">
                  <c:v>37756</c:v>
                </c:pt>
                <c:pt idx="213">
                  <c:v>37848</c:v>
                </c:pt>
                <c:pt idx="214">
                  <c:v>37940</c:v>
                </c:pt>
                <c:pt idx="215">
                  <c:v>38032</c:v>
                </c:pt>
                <c:pt idx="216">
                  <c:v>38122</c:v>
                </c:pt>
                <c:pt idx="217">
                  <c:v>38214</c:v>
                </c:pt>
                <c:pt idx="218">
                  <c:v>38306</c:v>
                </c:pt>
                <c:pt idx="219">
                  <c:v>38398</c:v>
                </c:pt>
                <c:pt idx="220">
                  <c:v>38487</c:v>
                </c:pt>
                <c:pt idx="221">
                  <c:v>38579</c:v>
                </c:pt>
                <c:pt idx="222">
                  <c:v>38671</c:v>
                </c:pt>
                <c:pt idx="223">
                  <c:v>38763</c:v>
                </c:pt>
                <c:pt idx="224">
                  <c:v>38852</c:v>
                </c:pt>
                <c:pt idx="225">
                  <c:v>38944</c:v>
                </c:pt>
                <c:pt idx="226">
                  <c:v>39036</c:v>
                </c:pt>
                <c:pt idx="227">
                  <c:v>39128</c:v>
                </c:pt>
                <c:pt idx="228">
                  <c:v>39217</c:v>
                </c:pt>
                <c:pt idx="229">
                  <c:v>39309</c:v>
                </c:pt>
                <c:pt idx="230">
                  <c:v>39401</c:v>
                </c:pt>
                <c:pt idx="231">
                  <c:v>39493</c:v>
                </c:pt>
                <c:pt idx="232">
                  <c:v>39583</c:v>
                </c:pt>
                <c:pt idx="233">
                  <c:v>39675</c:v>
                </c:pt>
                <c:pt idx="234">
                  <c:v>39767</c:v>
                </c:pt>
                <c:pt idx="235">
                  <c:v>39859</c:v>
                </c:pt>
                <c:pt idx="236">
                  <c:v>39948</c:v>
                </c:pt>
                <c:pt idx="237">
                  <c:v>40040</c:v>
                </c:pt>
                <c:pt idx="238">
                  <c:v>40132</c:v>
                </c:pt>
                <c:pt idx="239">
                  <c:v>40224</c:v>
                </c:pt>
                <c:pt idx="240">
                  <c:v>40313</c:v>
                </c:pt>
                <c:pt idx="241">
                  <c:v>40405</c:v>
                </c:pt>
                <c:pt idx="242">
                  <c:v>40497</c:v>
                </c:pt>
                <c:pt idx="243">
                  <c:v>40589</c:v>
                </c:pt>
                <c:pt idx="244">
                  <c:v>40678</c:v>
                </c:pt>
                <c:pt idx="245">
                  <c:v>40770</c:v>
                </c:pt>
                <c:pt idx="246">
                  <c:v>40862</c:v>
                </c:pt>
                <c:pt idx="247">
                  <c:v>40954</c:v>
                </c:pt>
                <c:pt idx="248">
                  <c:v>41044</c:v>
                </c:pt>
                <c:pt idx="249">
                  <c:v>41136</c:v>
                </c:pt>
                <c:pt idx="250">
                  <c:v>41228</c:v>
                </c:pt>
                <c:pt idx="251">
                  <c:v>41320</c:v>
                </c:pt>
                <c:pt idx="252">
                  <c:v>41409</c:v>
                </c:pt>
                <c:pt idx="253">
                  <c:v>41501</c:v>
                </c:pt>
                <c:pt idx="254">
                  <c:v>41593</c:v>
                </c:pt>
                <c:pt idx="255">
                  <c:v>41685</c:v>
                </c:pt>
                <c:pt idx="256">
                  <c:v>41774</c:v>
                </c:pt>
                <c:pt idx="257">
                  <c:v>41866</c:v>
                </c:pt>
                <c:pt idx="258">
                  <c:v>41958</c:v>
                </c:pt>
                <c:pt idx="259">
                  <c:v>42050</c:v>
                </c:pt>
                <c:pt idx="260">
                  <c:v>42139</c:v>
                </c:pt>
                <c:pt idx="261">
                  <c:v>42231</c:v>
                </c:pt>
                <c:pt idx="262">
                  <c:v>42323</c:v>
                </c:pt>
                <c:pt idx="263">
                  <c:v>42415</c:v>
                </c:pt>
                <c:pt idx="264">
                  <c:v>42505</c:v>
                </c:pt>
                <c:pt idx="265">
                  <c:v>42597</c:v>
                </c:pt>
                <c:pt idx="266">
                  <c:v>42689</c:v>
                </c:pt>
                <c:pt idx="267">
                  <c:v>42781</c:v>
                </c:pt>
                <c:pt idx="268">
                  <c:v>42870</c:v>
                </c:pt>
                <c:pt idx="269">
                  <c:v>42962</c:v>
                </c:pt>
                <c:pt idx="270">
                  <c:v>43054</c:v>
                </c:pt>
                <c:pt idx="271">
                  <c:v>43146</c:v>
                </c:pt>
                <c:pt idx="272">
                  <c:v>43235</c:v>
                </c:pt>
                <c:pt idx="273">
                  <c:v>43327</c:v>
                </c:pt>
                <c:pt idx="274">
                  <c:v>43419</c:v>
                </c:pt>
                <c:pt idx="275">
                  <c:v>43511</c:v>
                </c:pt>
                <c:pt idx="276">
                  <c:v>43600</c:v>
                </c:pt>
                <c:pt idx="277">
                  <c:v>43692</c:v>
                </c:pt>
                <c:pt idx="278">
                  <c:v>43784</c:v>
                </c:pt>
                <c:pt idx="279">
                  <c:v>43876</c:v>
                </c:pt>
                <c:pt idx="280">
                  <c:v>43966</c:v>
                </c:pt>
                <c:pt idx="281">
                  <c:v>44058</c:v>
                </c:pt>
                <c:pt idx="282">
                  <c:v>44150</c:v>
                </c:pt>
              </c:numCache>
            </c:numRef>
          </c:cat>
          <c:val>
            <c:numRef>
              <c:f>Data150!$I$3:$I$285</c:f>
              <c:numCache>
                <c:formatCode>0.000</c:formatCode>
                <c:ptCount val="283"/>
                <c:pt idx="0">
                  <c:v>-9.7749256183522149E-2</c:v>
                </c:pt>
                <c:pt idx="1">
                  <c:v>0.13356369952626967</c:v>
                </c:pt>
                <c:pt idx="2">
                  <c:v>-0.22027566007649468</c:v>
                </c:pt>
                <c:pt idx="3">
                  <c:v>-9.2154840140159067E-2</c:v>
                </c:pt>
                <c:pt idx="4">
                  <c:v>0.60398485773786392</c:v>
                </c:pt>
                <c:pt idx="5">
                  <c:v>-0.12910229605436585</c:v>
                </c:pt>
                <c:pt idx="6">
                  <c:v>-0.12833713307027694</c:v>
                </c:pt>
                <c:pt idx="7">
                  <c:v>0.12799216359646537</c:v>
                </c:pt>
                <c:pt idx="8">
                  <c:v>5.1825249235889714E-2</c:v>
                </c:pt>
                <c:pt idx="9">
                  <c:v>8.0420672208685984E-2</c:v>
                </c:pt>
                <c:pt idx="10">
                  <c:v>-0.24235111088478423</c:v>
                </c:pt>
                <c:pt idx="11">
                  <c:v>-5.1750203287527996E-2</c:v>
                </c:pt>
                <c:pt idx="12">
                  <c:v>0.3246115372151126</c:v>
                </c:pt>
                <c:pt idx="13">
                  <c:v>-4.3590113465166502E-2</c:v>
                </c:pt>
                <c:pt idx="14">
                  <c:v>-0.16757588795435341</c:v>
                </c:pt>
                <c:pt idx="15">
                  <c:v>7.2260686352500825E-2</c:v>
                </c:pt>
                <c:pt idx="16">
                  <c:v>0.36397739144125807</c:v>
                </c:pt>
                <c:pt idx="17">
                  <c:v>-0.17400177580246912</c:v>
                </c:pt>
                <c:pt idx="18">
                  <c:v>-0.16735736002311696</c:v>
                </c:pt>
                <c:pt idx="19">
                  <c:v>0.18096536195454727</c:v>
                </c:pt>
                <c:pt idx="20">
                  <c:v>0.25100754864046326</c:v>
                </c:pt>
                <c:pt idx="21">
                  <c:v>-1.058191751535098E-2</c:v>
                </c:pt>
                <c:pt idx="22">
                  <c:v>-0.19209512908525206</c:v>
                </c:pt>
                <c:pt idx="23">
                  <c:v>-0.13825953190122353</c:v>
                </c:pt>
                <c:pt idx="24">
                  <c:v>0.36137060530765752</c:v>
                </c:pt>
                <c:pt idx="25">
                  <c:v>0.16597722856682373</c:v>
                </c:pt>
                <c:pt idx="26">
                  <c:v>-0.25236575027463493</c:v>
                </c:pt>
                <c:pt idx="27">
                  <c:v>-0.1274862322482655</c:v>
                </c:pt>
                <c:pt idx="28">
                  <c:v>0.43205316075135936</c:v>
                </c:pt>
                <c:pt idx="29">
                  <c:v>0.14462579868258496</c:v>
                </c:pt>
                <c:pt idx="30">
                  <c:v>-0.28900178027076318</c:v>
                </c:pt>
                <c:pt idx="31">
                  <c:v>-0.19994454758972668</c:v>
                </c:pt>
                <c:pt idx="32">
                  <c:v>0.64409629202535879</c:v>
                </c:pt>
                <c:pt idx="33">
                  <c:v>-5.5929987505205947E-2</c:v>
                </c:pt>
                <c:pt idx="34">
                  <c:v>-0.12060852178066861</c:v>
                </c:pt>
                <c:pt idx="35">
                  <c:v>-2.1591647601357233E-2</c:v>
                </c:pt>
                <c:pt idx="36">
                  <c:v>0.27648162462381176</c:v>
                </c:pt>
                <c:pt idx="37">
                  <c:v>-1.5354801346254443E-2</c:v>
                </c:pt>
                <c:pt idx="38">
                  <c:v>-0.17793509369493454</c:v>
                </c:pt>
                <c:pt idx="39">
                  <c:v>-0.13868215835511499</c:v>
                </c:pt>
                <c:pt idx="40">
                  <c:v>0.30597152766477698</c:v>
                </c:pt>
                <c:pt idx="41">
                  <c:v>5.9243474281537756E-2</c:v>
                </c:pt>
                <c:pt idx="42">
                  <c:v>-0.29726179130562269</c:v>
                </c:pt>
                <c:pt idx="43">
                  <c:v>0.13078795935964882</c:v>
                </c:pt>
                <c:pt idx="44">
                  <c:v>0.27814560861093174</c:v>
                </c:pt>
                <c:pt idx="45">
                  <c:v>-6.0664682521407332E-2</c:v>
                </c:pt>
                <c:pt idx="46">
                  <c:v>-0.15788483908747686</c:v>
                </c:pt>
                <c:pt idx="47">
                  <c:v>-3.25175941384509E-2</c:v>
                </c:pt>
                <c:pt idx="48">
                  <c:v>0.36160440054405862</c:v>
                </c:pt>
                <c:pt idx="49">
                  <c:v>-7.9462245602751169E-2</c:v>
                </c:pt>
                <c:pt idx="50">
                  <c:v>-0.17082595381574706</c:v>
                </c:pt>
                <c:pt idx="51">
                  <c:v>-9.5041769889902761E-2</c:v>
                </c:pt>
                <c:pt idx="52">
                  <c:v>0.78516912217570711</c:v>
                </c:pt>
                <c:pt idx="53">
                  <c:v>-0.12050384581896767</c:v>
                </c:pt>
                <c:pt idx="54">
                  <c:v>-0.25279538371615129</c:v>
                </c:pt>
                <c:pt idx="55">
                  <c:v>-1.0752590520789695E-2</c:v>
                </c:pt>
                <c:pt idx="56">
                  <c:v>0.39406950609309566</c:v>
                </c:pt>
                <c:pt idx="57">
                  <c:v>-0.10974129351562345</c:v>
                </c:pt>
                <c:pt idx="58">
                  <c:v>-0.21155583115962329</c:v>
                </c:pt>
                <c:pt idx="59">
                  <c:v>3.3055075032078829E-2</c:v>
                </c:pt>
                <c:pt idx="60">
                  <c:v>0.406764197786329</c:v>
                </c:pt>
                <c:pt idx="61">
                  <c:v>-9.8764675699581916E-3</c:v>
                </c:pt>
                <c:pt idx="62">
                  <c:v>-0.11402674079392339</c:v>
                </c:pt>
                <c:pt idx="63">
                  <c:v>-0.16309093539006858</c:v>
                </c:pt>
                <c:pt idx="64">
                  <c:v>0.53151652742431965</c:v>
                </c:pt>
                <c:pt idx="65">
                  <c:v>0</c:v>
                </c:pt>
                <c:pt idx="66">
                  <c:v>-0.36092598414326682</c:v>
                </c:pt>
                <c:pt idx="67">
                  <c:v>5.3944584364633563E-3</c:v>
                </c:pt>
                <c:pt idx="68">
                  <c:v>0.37054020226264628</c:v>
                </c:pt>
                <c:pt idx="69">
                  <c:v>0.13558742231265941</c:v>
                </c:pt>
                <c:pt idx="70">
                  <c:v>-0.30773443799056166</c:v>
                </c:pt>
                <c:pt idx="71">
                  <c:v>-5.1735332600638451E-2</c:v>
                </c:pt>
                <c:pt idx="72">
                  <c:v>0.21303193782473007</c:v>
                </c:pt>
                <c:pt idx="73">
                  <c:v>-8.3850702029894086E-2</c:v>
                </c:pt>
                <c:pt idx="74">
                  <c:v>-3.5962901454717922E-2</c:v>
                </c:pt>
                <c:pt idx="75">
                  <c:v>0</c:v>
                </c:pt>
                <c:pt idx="76">
                  <c:v>0.18506830412979647</c:v>
                </c:pt>
                <c:pt idx="77">
                  <c:v>0.17121919011749487</c:v>
                </c:pt>
                <c:pt idx="78">
                  <c:v>-0.31665572744398651</c:v>
                </c:pt>
                <c:pt idx="79">
                  <c:v>-2.6366379972388998E-2</c:v>
                </c:pt>
                <c:pt idx="80">
                  <c:v>0.28977277287784453</c:v>
                </c:pt>
                <c:pt idx="81">
                  <c:v>0.13737614135373222</c:v>
                </c:pt>
                <c:pt idx="82">
                  <c:v>-0.18945486728315264</c:v>
                </c:pt>
                <c:pt idx="83">
                  <c:v>-0.24975657921547756</c:v>
                </c:pt>
                <c:pt idx="84">
                  <c:v>0.62054534772255976</c:v>
                </c:pt>
                <c:pt idx="85">
                  <c:v>-2.4226616162156711E-2</c:v>
                </c:pt>
                <c:pt idx="86">
                  <c:v>-0.26018488319821109</c:v>
                </c:pt>
                <c:pt idx="87">
                  <c:v>-0.1068374291807368</c:v>
                </c:pt>
                <c:pt idx="88">
                  <c:v>0.535835622365751</c:v>
                </c:pt>
                <c:pt idx="89">
                  <c:v>0.1122833583991647</c:v>
                </c:pt>
                <c:pt idx="90">
                  <c:v>-0.30550413214773287</c:v>
                </c:pt>
                <c:pt idx="91">
                  <c:v>-9.0847647896936223E-2</c:v>
                </c:pt>
                <c:pt idx="92">
                  <c:v>0.49498825937754143</c:v>
                </c:pt>
                <c:pt idx="93">
                  <c:v>9.0057976525977468E-2</c:v>
                </c:pt>
                <c:pt idx="94">
                  <c:v>-0.29636377627285149</c:v>
                </c:pt>
                <c:pt idx="95">
                  <c:v>-8.0259009461401187E-2</c:v>
                </c:pt>
                <c:pt idx="96">
                  <c:v>0.10994269483944974</c:v>
                </c:pt>
                <c:pt idx="97">
                  <c:v>9.0430359467847721E-2</c:v>
                </c:pt>
                <c:pt idx="98">
                  <c:v>-7.8200690961891084E-2</c:v>
                </c:pt>
                <c:pt idx="99">
                  <c:v>-3.5506901767453081E-2</c:v>
                </c:pt>
                <c:pt idx="100">
                  <c:v>0.36913631657669499</c:v>
                </c:pt>
                <c:pt idx="101">
                  <c:v>6.3823154760188627E-2</c:v>
                </c:pt>
                <c:pt idx="102">
                  <c:v>-8.2334338691123721E-2</c:v>
                </c:pt>
                <c:pt idx="103">
                  <c:v>-0.14139494072775438</c:v>
                </c:pt>
                <c:pt idx="104">
                  <c:v>0.34264466315793451</c:v>
                </c:pt>
                <c:pt idx="105">
                  <c:v>3.2996649134434453E-2</c:v>
                </c:pt>
                <c:pt idx="106">
                  <c:v>-0.32483944904132878</c:v>
                </c:pt>
                <c:pt idx="107">
                  <c:v>-4.0145405120328825E-2</c:v>
                </c:pt>
                <c:pt idx="108">
                  <c:v>0.25257342968588126</c:v>
                </c:pt>
                <c:pt idx="109">
                  <c:v>6.988682528080159E-2</c:v>
                </c:pt>
                <c:pt idx="110">
                  <c:v>-6.986171889621462E-2</c:v>
                </c:pt>
                <c:pt idx="111">
                  <c:v>-0.13397964887545499</c:v>
                </c:pt>
                <c:pt idx="112">
                  <c:v>0.24143613778387452</c:v>
                </c:pt>
                <c:pt idx="113">
                  <c:v>7.3725161913974269E-2</c:v>
                </c:pt>
                <c:pt idx="114">
                  <c:v>-0.23066578894175138</c:v>
                </c:pt>
                <c:pt idx="115">
                  <c:v>0.22220143399440451</c:v>
                </c:pt>
                <c:pt idx="116">
                  <c:v>-4.7647324460522444E-3</c:v>
                </c:pt>
                <c:pt idx="117">
                  <c:v>0.1093557106852121</c:v>
                </c:pt>
                <c:pt idx="118">
                  <c:v>-0.24015533630784647</c:v>
                </c:pt>
                <c:pt idx="119">
                  <c:v>-2.9591039999471769E-2</c:v>
                </c:pt>
                <c:pt idx="120">
                  <c:v>0.50055308032942536</c:v>
                </c:pt>
                <c:pt idx="121">
                  <c:v>-0.20076154431172899</c:v>
                </c:pt>
                <c:pt idx="122">
                  <c:v>-0.15776834583511667</c:v>
                </c:pt>
                <c:pt idx="123">
                  <c:v>0.16467983644028483</c:v>
                </c:pt>
                <c:pt idx="124">
                  <c:v>0.32247941778071376</c:v>
                </c:pt>
                <c:pt idx="125">
                  <c:v>-0.14442632173099146</c:v>
                </c:pt>
                <c:pt idx="126">
                  <c:v>-0.16627319006249042</c:v>
                </c:pt>
                <c:pt idx="127">
                  <c:v>-1.4607180147675924E-2</c:v>
                </c:pt>
                <c:pt idx="128">
                  <c:v>0.18340429571994177</c:v>
                </c:pt>
                <c:pt idx="129">
                  <c:v>-9.3896063812399788E-3</c:v>
                </c:pt>
                <c:pt idx="130">
                  <c:v>-9.9917842100772924E-2</c:v>
                </c:pt>
                <c:pt idx="131">
                  <c:v>-8.898742227369294E-2</c:v>
                </c:pt>
                <c:pt idx="132">
                  <c:v>0.20234643295143084</c:v>
                </c:pt>
                <c:pt idx="133">
                  <c:v>0.1186883469955331</c:v>
                </c:pt>
                <c:pt idx="134">
                  <c:v>-0.14361904353054489</c:v>
                </c:pt>
                <c:pt idx="135">
                  <c:v>-9.5464710823695009E-3</c:v>
                </c:pt>
                <c:pt idx="136">
                  <c:v>0.25119104678070281</c:v>
                </c:pt>
                <c:pt idx="137">
                  <c:v>5.5606855209257233E-2</c:v>
                </c:pt>
                <c:pt idx="138">
                  <c:v>-0.17913853701807858</c:v>
                </c:pt>
                <c:pt idx="139">
                  <c:v>-5.0768502788999248E-2</c:v>
                </c:pt>
                <c:pt idx="140">
                  <c:v>0.23801309798609283</c:v>
                </c:pt>
                <c:pt idx="141">
                  <c:v>-4.5121191464740917E-3</c:v>
                </c:pt>
                <c:pt idx="142">
                  <c:v>-0.3020305998212498</c:v>
                </c:pt>
                <c:pt idx="143">
                  <c:v>0.27740088358719506</c:v>
                </c:pt>
                <c:pt idx="144">
                  <c:v>0.27617565287683399</c:v>
                </c:pt>
                <c:pt idx="145">
                  <c:v>-0.19428523980608026</c:v>
                </c:pt>
                <c:pt idx="146">
                  <c:v>-0.12750955424424182</c:v>
                </c:pt>
                <c:pt idx="147">
                  <c:v>-7.889212082032826E-2</c:v>
                </c:pt>
                <c:pt idx="148">
                  <c:v>0.38202613554062359</c:v>
                </c:pt>
                <c:pt idx="149">
                  <c:v>3.1906333812568244E-2</c:v>
                </c:pt>
                <c:pt idx="150">
                  <c:v>-0.15538846155787922</c:v>
                </c:pt>
                <c:pt idx="151">
                  <c:v>-0.11581294200878456</c:v>
                </c:pt>
                <c:pt idx="152">
                  <c:v>0.25721724201102725</c:v>
                </c:pt>
                <c:pt idx="153">
                  <c:v>3.2162863651556961E-2</c:v>
                </c:pt>
                <c:pt idx="154">
                  <c:v>-0.12844000387039844</c:v>
                </c:pt>
                <c:pt idx="155">
                  <c:v>-0.17384019160455177</c:v>
                </c:pt>
                <c:pt idx="156">
                  <c:v>0.45890009392366404</c:v>
                </c:pt>
                <c:pt idx="157">
                  <c:v>4.984891165842309E-2</c:v>
                </c:pt>
                <c:pt idx="158">
                  <c:v>-0.21705818294814638</c:v>
                </c:pt>
                <c:pt idx="159">
                  <c:v>-6.3833044918970572E-2</c:v>
                </c:pt>
                <c:pt idx="160">
                  <c:v>0.2822823741991447</c:v>
                </c:pt>
                <c:pt idx="161">
                  <c:v>5.0018883780768908E-2</c:v>
                </c:pt>
                <c:pt idx="162">
                  <c:v>-0.19171474425011059</c:v>
                </c:pt>
                <c:pt idx="163">
                  <c:v>-3.6693315112520275E-2</c:v>
                </c:pt>
                <c:pt idx="164">
                  <c:v>0.31863540141142832</c:v>
                </c:pt>
                <c:pt idx="165">
                  <c:v>0.13805607342931747</c:v>
                </c:pt>
                <c:pt idx="166">
                  <c:v>-0.29202542914599139</c:v>
                </c:pt>
                <c:pt idx="167">
                  <c:v>8.5871374367564313E-2</c:v>
                </c:pt>
                <c:pt idx="168">
                  <c:v>0.10344706159582606</c:v>
                </c:pt>
                <c:pt idx="169">
                  <c:v>6.7964932619116736E-2</c:v>
                </c:pt>
                <c:pt idx="170">
                  <c:v>-3.4331546842671257E-2</c:v>
                </c:pt>
                <c:pt idx="171">
                  <c:v>-0.14098902943390756</c:v>
                </c:pt>
                <c:pt idx="172">
                  <c:v>0.24262724936798863</c:v>
                </c:pt>
                <c:pt idx="173">
                  <c:v>-1.2882279558346865E-2</c:v>
                </c:pt>
                <c:pt idx="174">
                  <c:v>-0.13538467044981239</c:v>
                </c:pt>
                <c:pt idx="175">
                  <c:v>-6.9917664960247983E-2</c:v>
                </c:pt>
                <c:pt idx="176">
                  <c:v>0.2652014844157331</c:v>
                </c:pt>
                <c:pt idx="177">
                  <c:v>1.2993874100502456E-2</c:v>
                </c:pt>
                <c:pt idx="178">
                  <c:v>-0.10316186520148507</c:v>
                </c:pt>
                <c:pt idx="179">
                  <c:v>-0.14186987361123859</c:v>
                </c:pt>
                <c:pt idx="180">
                  <c:v>0.21763172490253679</c:v>
                </c:pt>
                <c:pt idx="181">
                  <c:v>0.16671800187801189</c:v>
                </c:pt>
                <c:pt idx="182">
                  <c:v>-0.25989213267365174</c:v>
                </c:pt>
                <c:pt idx="183">
                  <c:v>-4.0151001185552371E-2</c:v>
                </c:pt>
                <c:pt idx="184">
                  <c:v>0.3437323201631286</c:v>
                </c:pt>
                <c:pt idx="185">
                  <c:v>3.4442501910047607E-2</c:v>
                </c:pt>
                <c:pt idx="186">
                  <c:v>-1.675355620678276E-2</c:v>
                </c:pt>
                <c:pt idx="187">
                  <c:v>-4.5754169779789189E-2</c:v>
                </c:pt>
                <c:pt idx="188">
                  <c:v>0.35660878005219887</c:v>
                </c:pt>
                <c:pt idx="189">
                  <c:v>-0.16002352137128417</c:v>
                </c:pt>
                <c:pt idx="190">
                  <c:v>-0.17388205507083132</c:v>
                </c:pt>
                <c:pt idx="191">
                  <c:v>-0.1320383160437536</c:v>
                </c:pt>
                <c:pt idx="192">
                  <c:v>0.44144971945273825</c:v>
                </c:pt>
                <c:pt idx="193">
                  <c:v>0.12017260889449299</c:v>
                </c:pt>
                <c:pt idx="194">
                  <c:v>-0.28646546221322566</c:v>
                </c:pt>
                <c:pt idx="195">
                  <c:v>-0.1320383160437536</c:v>
                </c:pt>
                <c:pt idx="196">
                  <c:v>0.38885297199423041</c:v>
                </c:pt>
                <c:pt idx="197">
                  <c:v>4.2143902629977248E-2</c:v>
                </c:pt>
                <c:pt idx="198">
                  <c:v>-0.20745082536839732</c:v>
                </c:pt>
                <c:pt idx="199">
                  <c:v>-8.0169105467970292E-2</c:v>
                </c:pt>
                <c:pt idx="200">
                  <c:v>0.36609632592745034</c:v>
                </c:pt>
                <c:pt idx="201">
                  <c:v>-3.2484586934535375E-2</c:v>
                </c:pt>
                <c:pt idx="202">
                  <c:v>-0.16305378293098483</c:v>
                </c:pt>
                <c:pt idx="203">
                  <c:v>-0.10800387428128011</c:v>
                </c:pt>
                <c:pt idx="204">
                  <c:v>0.39016405635808371</c:v>
                </c:pt>
                <c:pt idx="205">
                  <c:v>-0.10635693691339776</c:v>
                </c:pt>
                <c:pt idx="206">
                  <c:v>-3.7476287460905033E-2</c:v>
                </c:pt>
                <c:pt idx="207">
                  <c:v>-7.4577709939460113E-2</c:v>
                </c:pt>
                <c:pt idx="208">
                  <c:v>9.9138199928709092E-2</c:v>
                </c:pt>
                <c:pt idx="209">
                  <c:v>0.24476885037379659</c:v>
                </c:pt>
                <c:pt idx="210">
                  <c:v>-0.24007534849933898</c:v>
                </c:pt>
                <c:pt idx="211">
                  <c:v>6.165623576058632E-2</c:v>
                </c:pt>
                <c:pt idx="212">
                  <c:v>0.37961152031542778</c:v>
                </c:pt>
                <c:pt idx="213">
                  <c:v>-0.1918508415788599</c:v>
                </c:pt>
                <c:pt idx="214">
                  <c:v>-0.11820575343674744</c:v>
                </c:pt>
                <c:pt idx="215">
                  <c:v>-7.0474485605448889E-2</c:v>
                </c:pt>
                <c:pt idx="216">
                  <c:v>0.21500410438314876</c:v>
                </c:pt>
                <c:pt idx="217">
                  <c:v>6.3439143830278821E-2</c:v>
                </c:pt>
                <c:pt idx="218">
                  <c:v>-0.17091838981757301</c:v>
                </c:pt>
                <c:pt idx="219">
                  <c:v>-0.10634888863992575</c:v>
                </c:pt>
                <c:pt idx="220">
                  <c:v>0.28498354506457391</c:v>
                </c:pt>
                <c:pt idx="221">
                  <c:v>1.6579957720597838E-2</c:v>
                </c:pt>
                <c:pt idx="222">
                  <c:v>-0.12866502177934958</c:v>
                </c:pt>
                <c:pt idx="223">
                  <c:v>3.4405473642814988E-2</c:v>
                </c:pt>
                <c:pt idx="224">
                  <c:v>0.48098516913283373</c:v>
                </c:pt>
                <c:pt idx="225">
                  <c:v>-0.15092355617675624</c:v>
                </c:pt>
                <c:pt idx="226">
                  <c:v>-2.7543843741380969E-2</c:v>
                </c:pt>
                <c:pt idx="227">
                  <c:v>-9.6404884519293188E-2</c:v>
                </c:pt>
                <c:pt idx="228">
                  <c:v>0.16083045854246625</c:v>
                </c:pt>
                <c:pt idx="229">
                  <c:v>3.6086618601909315E-2</c:v>
                </c:pt>
                <c:pt idx="230">
                  <c:v>-0.17536004597646115</c:v>
                </c:pt>
                <c:pt idx="231">
                  <c:v>-5.2434218744256134E-2</c:v>
                </c:pt>
                <c:pt idx="232">
                  <c:v>0.20611805404326744</c:v>
                </c:pt>
                <c:pt idx="233">
                  <c:v>0.1824448213052603</c:v>
                </c:pt>
                <c:pt idx="234">
                  <c:v>-0.18418399147040865</c:v>
                </c:pt>
                <c:pt idx="235">
                  <c:v>-8.9218905098892298E-2</c:v>
                </c:pt>
                <c:pt idx="236">
                  <c:v>0.19352755662604038</c:v>
                </c:pt>
                <c:pt idx="237">
                  <c:v>-2.7249005591743036E-2</c:v>
                </c:pt>
                <c:pt idx="238">
                  <c:v>-0.1280054400559153</c:v>
                </c:pt>
                <c:pt idx="239">
                  <c:v>6.290719597447203E-2</c:v>
                </c:pt>
                <c:pt idx="240">
                  <c:v>9.180018485186725E-2</c:v>
                </c:pt>
                <c:pt idx="241">
                  <c:v>6.4691330186437579E-2</c:v>
                </c:pt>
                <c:pt idx="242">
                  <c:v>-0.19726106402916121</c:v>
                </c:pt>
                <c:pt idx="243">
                  <c:v>2.0692537816742407E-2</c:v>
                </c:pt>
                <c:pt idx="244">
                  <c:v>0.15540276304590628</c:v>
                </c:pt>
                <c:pt idx="245">
                  <c:v>2.3855810613705009E-2</c:v>
                </c:pt>
                <c:pt idx="246">
                  <c:v>-6.8676066545683367E-2</c:v>
                </c:pt>
                <c:pt idx="247">
                  <c:v>-1.5856970444425578E-2</c:v>
                </c:pt>
                <c:pt idx="248">
                  <c:v>9.1040860039068194E-2</c:v>
                </c:pt>
                <c:pt idx="249">
                  <c:v>-3.4796069734042478E-2</c:v>
                </c:pt>
                <c:pt idx="250">
                  <c:v>-0.14546607073665863</c:v>
                </c:pt>
                <c:pt idx="251">
                  <c:v>-2.4438764003648417E-2</c:v>
                </c:pt>
                <c:pt idx="252">
                  <c:v>0.25745927978235716</c:v>
                </c:pt>
                <c:pt idx="253">
                  <c:v>0.16127006636907026</c:v>
                </c:pt>
                <c:pt idx="254">
                  <c:v>-0.2168103457478805</c:v>
                </c:pt>
                <c:pt idx="255">
                  <c:v>-6.6285568479000134E-2</c:v>
                </c:pt>
                <c:pt idx="256">
                  <c:v>0.22424428042086131</c:v>
                </c:pt>
                <c:pt idx="257">
                  <c:v>4.723604798015768E-2</c:v>
                </c:pt>
                <c:pt idx="258">
                  <c:v>-0.16129434399513576</c:v>
                </c:pt>
                <c:pt idx="259">
                  <c:v>7.8113234070781079E-2</c:v>
                </c:pt>
                <c:pt idx="260">
                  <c:v>0.24759709934708507</c:v>
                </c:pt>
                <c:pt idx="261">
                  <c:v>1.8682353736665158E-2</c:v>
                </c:pt>
                <c:pt idx="262">
                  <c:v>-0.17547284617518788</c:v>
                </c:pt>
                <c:pt idx="263">
                  <c:v>4.3322190543909622E-2</c:v>
                </c:pt>
                <c:pt idx="264">
                  <c:v>0.20158173965014603</c:v>
                </c:pt>
                <c:pt idx="265">
                  <c:v>-7.3059054953538149E-3</c:v>
                </c:pt>
                <c:pt idx="266">
                  <c:v>-7.1399059952332533E-2</c:v>
                </c:pt>
                <c:pt idx="267">
                  <c:v>-0.23710478795247469</c:v>
                </c:pt>
                <c:pt idx="268">
                  <c:v>0.41676885896099991</c:v>
                </c:pt>
                <c:pt idx="269">
                  <c:v>-1.8206169610416323E-2</c:v>
                </c:pt>
                <c:pt idx="270">
                  <c:v>-0.23093240831605333</c:v>
                </c:pt>
                <c:pt idx="271">
                  <c:v>-1.5639972457634488E-2</c:v>
                </c:pt>
                <c:pt idx="272">
                  <c:v>0.21253777304742316</c:v>
                </c:pt>
                <c:pt idx="273">
                  <c:v>8.1394286616415235E-2</c:v>
                </c:pt>
                <c:pt idx="274">
                  <c:v>-0.23434223525355791</c:v>
                </c:pt>
                <c:pt idx="275">
                  <c:v>-6.5393465292599706E-2</c:v>
                </c:pt>
                <c:pt idx="276">
                  <c:v>0.4657026634760506</c:v>
                </c:pt>
                <c:pt idx="277">
                  <c:v>1.8356565646319378E-2</c:v>
                </c:pt>
                <c:pt idx="278">
                  <c:v>-0.2717764257227121</c:v>
                </c:pt>
                <c:pt idx="279">
                  <c:v>-3.9234871799823656E-3</c:v>
                </c:pt>
                <c:pt idx="280">
                  <c:v>0.22075077633170248</c:v>
                </c:pt>
                <c:pt idx="281">
                  <c:v>0.16246823470993377</c:v>
                </c:pt>
                <c:pt idx="282">
                  <c:v>-9.3804478857472784E-2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5-47E0-BECF-78296C9E3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920400"/>
        <c:axId val="839910832"/>
      </c:lineChart>
      <c:dateAx>
        <c:axId val="83992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10832"/>
        <c:crosses val="autoZero"/>
        <c:auto val="1"/>
        <c:lblOffset val="100"/>
        <c:baseTimeUnit val="months"/>
        <c:majorUnit val="5"/>
        <c:majorTimeUnit val="years"/>
      </c:dateAx>
      <c:valAx>
        <c:axId val="839910832"/>
        <c:scaling>
          <c:orientation val="minMax"/>
          <c:max val="0.8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Annualized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2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Consumption Expenditure</a:t>
            </a:r>
            <a:r>
              <a:rPr lang="en-CA" baseline="0"/>
              <a:t> With Linear and Quadratic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Data150!$J$1</c:f>
              <c:strCache>
                <c:ptCount val="1"/>
                <c:pt idx="0">
                  <c:v>Linear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Data150!$J$2:$J$285</c:f>
              <c:numCache>
                <c:formatCode>0.000</c:formatCode>
                <c:ptCount val="284"/>
                <c:pt idx="0">
                  <c:v>683.84128984432755</c:v>
                </c:pt>
                <c:pt idx="1">
                  <c:v>685.14694538815456</c:v>
                </c:pt>
                <c:pt idx="2">
                  <c:v>686.45260093198158</c:v>
                </c:pt>
                <c:pt idx="3">
                  <c:v>687.75825647580677</c:v>
                </c:pt>
                <c:pt idx="4">
                  <c:v>689.06391201963379</c:v>
                </c:pt>
                <c:pt idx="5">
                  <c:v>690.36956756346081</c:v>
                </c:pt>
                <c:pt idx="6">
                  <c:v>691.675223107286</c:v>
                </c:pt>
                <c:pt idx="7">
                  <c:v>692.98087865111302</c:v>
                </c:pt>
                <c:pt idx="8">
                  <c:v>694.28653419494003</c:v>
                </c:pt>
                <c:pt idx="9">
                  <c:v>695.59218973876705</c:v>
                </c:pt>
                <c:pt idx="10">
                  <c:v>696.89784528259224</c:v>
                </c:pt>
                <c:pt idx="11">
                  <c:v>698.20350082641926</c:v>
                </c:pt>
                <c:pt idx="12">
                  <c:v>699.50915637024627</c:v>
                </c:pt>
                <c:pt idx="13">
                  <c:v>700.81481191407147</c:v>
                </c:pt>
                <c:pt idx="14">
                  <c:v>702.12046745789849</c:v>
                </c:pt>
                <c:pt idx="15">
                  <c:v>703.4261230017255</c:v>
                </c:pt>
                <c:pt idx="16">
                  <c:v>704.7317785455507</c:v>
                </c:pt>
                <c:pt idx="17">
                  <c:v>706.03743408937771</c:v>
                </c:pt>
                <c:pt idx="18">
                  <c:v>707.34308963320473</c:v>
                </c:pt>
                <c:pt idx="19">
                  <c:v>708.64874517703174</c:v>
                </c:pt>
                <c:pt idx="20">
                  <c:v>709.95440072085694</c:v>
                </c:pt>
                <c:pt idx="21">
                  <c:v>711.26005626468395</c:v>
                </c:pt>
                <c:pt idx="22">
                  <c:v>712.56571180851097</c:v>
                </c:pt>
                <c:pt idx="23">
                  <c:v>713.87136735233616</c:v>
                </c:pt>
                <c:pt idx="24">
                  <c:v>715.17702289616318</c:v>
                </c:pt>
                <c:pt idx="25">
                  <c:v>716.4826784399902</c:v>
                </c:pt>
                <c:pt idx="26">
                  <c:v>717.78833398381539</c:v>
                </c:pt>
                <c:pt idx="27">
                  <c:v>719.09398952764241</c:v>
                </c:pt>
                <c:pt idx="28">
                  <c:v>720.39964507146942</c:v>
                </c:pt>
                <c:pt idx="29">
                  <c:v>721.70530061529644</c:v>
                </c:pt>
                <c:pt idx="30">
                  <c:v>723.01095615912163</c:v>
                </c:pt>
                <c:pt idx="31">
                  <c:v>724.31661170294865</c:v>
                </c:pt>
                <c:pt idx="32">
                  <c:v>725.62226724677566</c:v>
                </c:pt>
                <c:pt idx="33">
                  <c:v>726.92792279060086</c:v>
                </c:pt>
                <c:pt idx="34">
                  <c:v>728.23357833442788</c:v>
                </c:pt>
                <c:pt idx="35">
                  <c:v>729.53923387825489</c:v>
                </c:pt>
                <c:pt idx="36">
                  <c:v>730.84488942208009</c:v>
                </c:pt>
                <c:pt idx="37">
                  <c:v>732.1505449659071</c:v>
                </c:pt>
                <c:pt idx="38">
                  <c:v>733.45620050973412</c:v>
                </c:pt>
                <c:pt idx="39">
                  <c:v>734.76185605356113</c:v>
                </c:pt>
                <c:pt idx="40">
                  <c:v>736.06751159738633</c:v>
                </c:pt>
                <c:pt idx="41">
                  <c:v>737.37316714121334</c:v>
                </c:pt>
                <c:pt idx="42">
                  <c:v>738.67882268504036</c:v>
                </c:pt>
                <c:pt idx="43">
                  <c:v>739.98447822886556</c:v>
                </c:pt>
                <c:pt idx="44">
                  <c:v>741.29013377269257</c:v>
                </c:pt>
                <c:pt idx="45">
                  <c:v>742.59578931651959</c:v>
                </c:pt>
                <c:pt idx="46">
                  <c:v>743.90144486034478</c:v>
                </c:pt>
                <c:pt idx="47">
                  <c:v>745.2071004041718</c:v>
                </c:pt>
                <c:pt idx="48">
                  <c:v>746.51275594799881</c:v>
                </c:pt>
                <c:pt idx="49">
                  <c:v>747.81841149182583</c:v>
                </c:pt>
                <c:pt idx="50">
                  <c:v>749.12406703565102</c:v>
                </c:pt>
                <c:pt idx="51">
                  <c:v>750.42972257947804</c:v>
                </c:pt>
                <c:pt idx="52">
                  <c:v>751.73537812330505</c:v>
                </c:pt>
                <c:pt idx="53">
                  <c:v>753.04103366713025</c:v>
                </c:pt>
                <c:pt idx="54">
                  <c:v>754.34668921095727</c:v>
                </c:pt>
                <c:pt idx="55">
                  <c:v>755.65234475478428</c:v>
                </c:pt>
                <c:pt idx="56">
                  <c:v>756.9580002986113</c:v>
                </c:pt>
                <c:pt idx="57">
                  <c:v>758.26365584243649</c:v>
                </c:pt>
                <c:pt idx="58">
                  <c:v>759.56931138626351</c:v>
                </c:pt>
                <c:pt idx="59">
                  <c:v>760.87496693009052</c:v>
                </c:pt>
                <c:pt idx="60">
                  <c:v>762.18062247391572</c:v>
                </c:pt>
                <c:pt idx="61">
                  <c:v>763.48627801774273</c:v>
                </c:pt>
                <c:pt idx="62">
                  <c:v>764.79193356156975</c:v>
                </c:pt>
                <c:pt idx="63">
                  <c:v>766.09758910539495</c:v>
                </c:pt>
                <c:pt idx="64">
                  <c:v>767.40324464922196</c:v>
                </c:pt>
                <c:pt idx="65">
                  <c:v>768.70890019304898</c:v>
                </c:pt>
                <c:pt idx="66">
                  <c:v>770.01455573687599</c:v>
                </c:pt>
                <c:pt idx="67">
                  <c:v>771.32021128070119</c:v>
                </c:pt>
                <c:pt idx="68">
                  <c:v>772.6258668245282</c:v>
                </c:pt>
                <c:pt idx="69">
                  <c:v>773.93152236835522</c:v>
                </c:pt>
                <c:pt idx="70">
                  <c:v>775.23717791218041</c:v>
                </c:pt>
                <c:pt idx="71">
                  <c:v>776.54283345600743</c:v>
                </c:pt>
                <c:pt idx="72">
                  <c:v>777.84848899983444</c:v>
                </c:pt>
                <c:pt idx="73">
                  <c:v>779.15414454365964</c:v>
                </c:pt>
                <c:pt idx="74">
                  <c:v>780.45980008748666</c:v>
                </c:pt>
                <c:pt idx="75">
                  <c:v>781.76545563131367</c:v>
                </c:pt>
                <c:pt idx="76">
                  <c:v>783.07111117514069</c:v>
                </c:pt>
                <c:pt idx="77">
                  <c:v>784.37676671896588</c:v>
                </c:pt>
                <c:pt idx="78">
                  <c:v>785.6824222627929</c:v>
                </c:pt>
                <c:pt idx="79">
                  <c:v>786.98807780661991</c:v>
                </c:pt>
                <c:pt idx="80">
                  <c:v>788.29373335044511</c:v>
                </c:pt>
                <c:pt idx="81">
                  <c:v>789.59938889427212</c:v>
                </c:pt>
                <c:pt idx="82">
                  <c:v>790.90504443809914</c:v>
                </c:pt>
                <c:pt idx="83">
                  <c:v>792.21069998192434</c:v>
                </c:pt>
                <c:pt idx="84">
                  <c:v>793.51635552575135</c:v>
                </c:pt>
                <c:pt idx="85">
                  <c:v>794.82201106957837</c:v>
                </c:pt>
                <c:pt idx="86">
                  <c:v>796.12766661340538</c:v>
                </c:pt>
                <c:pt idx="87">
                  <c:v>797.43332215723058</c:v>
                </c:pt>
                <c:pt idx="88">
                  <c:v>798.73897770105759</c:v>
                </c:pt>
                <c:pt idx="89">
                  <c:v>800.04463324488461</c:v>
                </c:pt>
                <c:pt idx="90">
                  <c:v>801.3502887887098</c:v>
                </c:pt>
                <c:pt idx="91">
                  <c:v>802.65594433253682</c:v>
                </c:pt>
                <c:pt idx="92">
                  <c:v>803.96159987636383</c:v>
                </c:pt>
                <c:pt idx="93">
                  <c:v>805.26725542018903</c:v>
                </c:pt>
                <c:pt idx="94">
                  <c:v>806.57291096401605</c:v>
                </c:pt>
                <c:pt idx="95">
                  <c:v>807.87856650784306</c:v>
                </c:pt>
                <c:pt idx="96">
                  <c:v>809.18422205167008</c:v>
                </c:pt>
                <c:pt idx="97">
                  <c:v>810.48987759549527</c:v>
                </c:pt>
                <c:pt idx="98">
                  <c:v>811.79553313932229</c:v>
                </c:pt>
                <c:pt idx="99">
                  <c:v>813.1011886831493</c:v>
                </c:pt>
                <c:pt idx="100">
                  <c:v>814.4068442269745</c:v>
                </c:pt>
                <c:pt idx="101">
                  <c:v>815.71249977080151</c:v>
                </c:pt>
                <c:pt idx="102">
                  <c:v>817.01815531462853</c:v>
                </c:pt>
                <c:pt idx="103">
                  <c:v>818.32381085845373</c:v>
                </c:pt>
                <c:pt idx="104">
                  <c:v>819.62946640228074</c:v>
                </c:pt>
                <c:pt idx="105">
                  <c:v>820.93512194610776</c:v>
                </c:pt>
                <c:pt idx="106">
                  <c:v>822.24077748993477</c:v>
                </c:pt>
                <c:pt idx="107">
                  <c:v>823.54643303375997</c:v>
                </c:pt>
                <c:pt idx="108">
                  <c:v>824.85208857758698</c:v>
                </c:pt>
                <c:pt idx="109">
                  <c:v>826.157744121414</c:v>
                </c:pt>
                <c:pt idx="110">
                  <c:v>827.46339966523919</c:v>
                </c:pt>
                <c:pt idx="111">
                  <c:v>828.76905520906621</c:v>
                </c:pt>
                <c:pt idx="112">
                  <c:v>830.07471075289322</c:v>
                </c:pt>
                <c:pt idx="113">
                  <c:v>831.38036629671842</c:v>
                </c:pt>
                <c:pt idx="114">
                  <c:v>832.68602184054544</c:v>
                </c:pt>
                <c:pt idx="115">
                  <c:v>833.99167738437245</c:v>
                </c:pt>
                <c:pt idx="116">
                  <c:v>835.29733292819947</c:v>
                </c:pt>
                <c:pt idx="117">
                  <c:v>836.60298847202466</c:v>
                </c:pt>
                <c:pt idx="118">
                  <c:v>837.90864401585168</c:v>
                </c:pt>
                <c:pt idx="119">
                  <c:v>839.21429955967869</c:v>
                </c:pt>
                <c:pt idx="120">
                  <c:v>840.51995510350389</c:v>
                </c:pt>
                <c:pt idx="121">
                  <c:v>841.8256106473309</c:v>
                </c:pt>
                <c:pt idx="122">
                  <c:v>843.13126619115792</c:v>
                </c:pt>
                <c:pt idx="123">
                  <c:v>844.43692173498312</c:v>
                </c:pt>
                <c:pt idx="124">
                  <c:v>845.74257727881013</c:v>
                </c:pt>
                <c:pt idx="125">
                  <c:v>847.04823282263715</c:v>
                </c:pt>
                <c:pt idx="126">
                  <c:v>848.35388836646416</c:v>
                </c:pt>
                <c:pt idx="127">
                  <c:v>849.65954391028936</c:v>
                </c:pt>
                <c:pt idx="128">
                  <c:v>850.96519945411637</c:v>
                </c:pt>
                <c:pt idx="129">
                  <c:v>852.27085499794339</c:v>
                </c:pt>
                <c:pt idx="130">
                  <c:v>853.57651054176858</c:v>
                </c:pt>
                <c:pt idx="131">
                  <c:v>854.8821660855956</c:v>
                </c:pt>
                <c:pt idx="132">
                  <c:v>856.18782162942261</c:v>
                </c:pt>
                <c:pt idx="133">
                  <c:v>857.49347717324781</c:v>
                </c:pt>
                <c:pt idx="134">
                  <c:v>858.79913271707483</c:v>
                </c:pt>
                <c:pt idx="135">
                  <c:v>860.10478826090184</c:v>
                </c:pt>
                <c:pt idx="136">
                  <c:v>861.41044380472886</c:v>
                </c:pt>
                <c:pt idx="137">
                  <c:v>862.71609934855405</c:v>
                </c:pt>
                <c:pt idx="138">
                  <c:v>864.02175489238107</c:v>
                </c:pt>
                <c:pt idx="139">
                  <c:v>865.32741043620808</c:v>
                </c:pt>
                <c:pt idx="140">
                  <c:v>866.63306598003328</c:v>
                </c:pt>
                <c:pt idx="141">
                  <c:v>867.93872152386029</c:v>
                </c:pt>
                <c:pt idx="142">
                  <c:v>869.24437706768731</c:v>
                </c:pt>
                <c:pt idx="143">
                  <c:v>870.55003261151251</c:v>
                </c:pt>
                <c:pt idx="144">
                  <c:v>871.85568815533952</c:v>
                </c:pt>
                <c:pt idx="145">
                  <c:v>873.16134369916654</c:v>
                </c:pt>
                <c:pt idx="146">
                  <c:v>874.46699924299355</c:v>
                </c:pt>
                <c:pt idx="147">
                  <c:v>875.77265478681875</c:v>
                </c:pt>
                <c:pt idx="148">
                  <c:v>877.07831033064576</c:v>
                </c:pt>
                <c:pt idx="149">
                  <c:v>878.38396587447278</c:v>
                </c:pt>
                <c:pt idx="150">
                  <c:v>879.68962141829797</c:v>
                </c:pt>
                <c:pt idx="151">
                  <c:v>880.99527696212499</c:v>
                </c:pt>
                <c:pt idx="152">
                  <c:v>882.30093250595201</c:v>
                </c:pt>
                <c:pt idx="153">
                  <c:v>883.6065880497772</c:v>
                </c:pt>
                <c:pt idx="154">
                  <c:v>884.91224359360422</c:v>
                </c:pt>
                <c:pt idx="155">
                  <c:v>886.21789913743123</c:v>
                </c:pt>
                <c:pt idx="156">
                  <c:v>887.52355468125825</c:v>
                </c:pt>
                <c:pt idx="157">
                  <c:v>888.82921022508344</c:v>
                </c:pt>
                <c:pt idx="158">
                  <c:v>890.13486576891046</c:v>
                </c:pt>
                <c:pt idx="159">
                  <c:v>891.44052131273747</c:v>
                </c:pt>
                <c:pt idx="160">
                  <c:v>892.74617685656267</c:v>
                </c:pt>
                <c:pt idx="161">
                  <c:v>894.05183240038969</c:v>
                </c:pt>
                <c:pt idx="162">
                  <c:v>895.3574879442167</c:v>
                </c:pt>
                <c:pt idx="163">
                  <c:v>896.6631434880419</c:v>
                </c:pt>
                <c:pt idx="164">
                  <c:v>897.96879903186891</c:v>
                </c:pt>
                <c:pt idx="165">
                  <c:v>899.27445457569593</c:v>
                </c:pt>
                <c:pt idx="166">
                  <c:v>900.58011011952294</c:v>
                </c:pt>
                <c:pt idx="167">
                  <c:v>901.88576566334814</c:v>
                </c:pt>
                <c:pt idx="168">
                  <c:v>903.19142120717515</c:v>
                </c:pt>
                <c:pt idx="169">
                  <c:v>904.49707675100217</c:v>
                </c:pt>
                <c:pt idx="170">
                  <c:v>905.80273229482736</c:v>
                </c:pt>
                <c:pt idx="171">
                  <c:v>907.10838783865438</c:v>
                </c:pt>
                <c:pt idx="172">
                  <c:v>908.4140433824814</c:v>
                </c:pt>
                <c:pt idx="173">
                  <c:v>909.71969892630659</c:v>
                </c:pt>
                <c:pt idx="174">
                  <c:v>911.02535447013361</c:v>
                </c:pt>
                <c:pt idx="175">
                  <c:v>912.33101001396062</c:v>
                </c:pt>
                <c:pt idx="176">
                  <c:v>913.63666555778764</c:v>
                </c:pt>
                <c:pt idx="177">
                  <c:v>914.94232110161283</c:v>
                </c:pt>
                <c:pt idx="178">
                  <c:v>916.24797664543985</c:v>
                </c:pt>
                <c:pt idx="179">
                  <c:v>917.55363218926686</c:v>
                </c:pt>
                <c:pt idx="180">
                  <c:v>918.85928773309206</c:v>
                </c:pt>
                <c:pt idx="181">
                  <c:v>920.16494327691908</c:v>
                </c:pt>
                <c:pt idx="182">
                  <c:v>921.47059882074609</c:v>
                </c:pt>
                <c:pt idx="183">
                  <c:v>922.77625436457129</c:v>
                </c:pt>
                <c:pt idx="184">
                  <c:v>924.0819099083983</c:v>
                </c:pt>
                <c:pt idx="185">
                  <c:v>925.38756545222532</c:v>
                </c:pt>
                <c:pt idx="186">
                  <c:v>926.69322099605233</c:v>
                </c:pt>
                <c:pt idx="187">
                  <c:v>927.99887653987753</c:v>
                </c:pt>
                <c:pt idx="188">
                  <c:v>929.30453208370454</c:v>
                </c:pt>
                <c:pt idx="189">
                  <c:v>930.61018762753156</c:v>
                </c:pt>
                <c:pt idx="190">
                  <c:v>931.91584317135676</c:v>
                </c:pt>
                <c:pt idx="191">
                  <c:v>933.22149871518377</c:v>
                </c:pt>
                <c:pt idx="192">
                  <c:v>934.52715425901079</c:v>
                </c:pt>
                <c:pt idx="193">
                  <c:v>935.83280980283598</c:v>
                </c:pt>
                <c:pt idx="194">
                  <c:v>937.138465346663</c:v>
                </c:pt>
                <c:pt idx="195">
                  <c:v>938.44412089049001</c:v>
                </c:pt>
                <c:pt idx="196">
                  <c:v>939.74977643431703</c:v>
                </c:pt>
                <c:pt idx="197">
                  <c:v>941.05543197814222</c:v>
                </c:pt>
                <c:pt idx="198">
                  <c:v>942.36108752196924</c:v>
                </c:pt>
                <c:pt idx="199">
                  <c:v>943.66674306579625</c:v>
                </c:pt>
                <c:pt idx="200">
                  <c:v>944.97239860962145</c:v>
                </c:pt>
                <c:pt idx="201">
                  <c:v>946.27805415344847</c:v>
                </c:pt>
                <c:pt idx="202">
                  <c:v>947.58370969727548</c:v>
                </c:pt>
                <c:pt idx="203">
                  <c:v>948.88936524110068</c:v>
                </c:pt>
                <c:pt idx="204">
                  <c:v>950.19502078492769</c:v>
                </c:pt>
                <c:pt idx="205">
                  <c:v>951.50067632875471</c:v>
                </c:pt>
                <c:pt idx="206">
                  <c:v>952.80633187258172</c:v>
                </c:pt>
                <c:pt idx="207">
                  <c:v>954.11198741640692</c:v>
                </c:pt>
                <c:pt idx="208">
                  <c:v>955.41764296023393</c:v>
                </c:pt>
                <c:pt idx="209">
                  <c:v>956.72329850406095</c:v>
                </c:pt>
                <c:pt idx="210">
                  <c:v>958.02895404788615</c:v>
                </c:pt>
                <c:pt idx="211">
                  <c:v>959.33460959171316</c:v>
                </c:pt>
                <c:pt idx="212">
                  <c:v>960.64026513554018</c:v>
                </c:pt>
                <c:pt idx="213">
                  <c:v>961.94592067936537</c:v>
                </c:pt>
                <c:pt idx="214">
                  <c:v>963.25157622319239</c:v>
                </c:pt>
                <c:pt idx="215">
                  <c:v>964.5572317670194</c:v>
                </c:pt>
                <c:pt idx="216">
                  <c:v>965.86288731084642</c:v>
                </c:pt>
                <c:pt idx="217">
                  <c:v>967.16854285467161</c:v>
                </c:pt>
                <c:pt idx="218">
                  <c:v>968.47419839849863</c:v>
                </c:pt>
                <c:pt idx="219">
                  <c:v>969.77985394232564</c:v>
                </c:pt>
                <c:pt idx="220">
                  <c:v>971.08550948615084</c:v>
                </c:pt>
                <c:pt idx="221">
                  <c:v>972.39116502997786</c:v>
                </c:pt>
                <c:pt idx="222">
                  <c:v>973.69682057380487</c:v>
                </c:pt>
                <c:pt idx="223">
                  <c:v>975.00247611763007</c:v>
                </c:pt>
                <c:pt idx="224">
                  <c:v>976.30813166145708</c:v>
                </c:pt>
                <c:pt idx="225">
                  <c:v>977.6137872052841</c:v>
                </c:pt>
                <c:pt idx="226">
                  <c:v>978.91944274911111</c:v>
                </c:pt>
                <c:pt idx="227">
                  <c:v>980.22509829293631</c:v>
                </c:pt>
                <c:pt idx="228">
                  <c:v>981.53075383676332</c:v>
                </c:pt>
                <c:pt idx="229">
                  <c:v>982.83640938059034</c:v>
                </c:pt>
                <c:pt idx="230">
                  <c:v>984.14206492441554</c:v>
                </c:pt>
                <c:pt idx="231">
                  <c:v>985.44772046824255</c:v>
                </c:pt>
                <c:pt idx="232">
                  <c:v>986.75337601206957</c:v>
                </c:pt>
                <c:pt idx="233">
                  <c:v>988.05903155589476</c:v>
                </c:pt>
                <c:pt idx="234">
                  <c:v>989.36468709972178</c:v>
                </c:pt>
                <c:pt idx="235">
                  <c:v>990.67034264354879</c:v>
                </c:pt>
                <c:pt idx="236">
                  <c:v>991.97599818737581</c:v>
                </c:pt>
                <c:pt idx="237">
                  <c:v>993.281653731201</c:v>
                </c:pt>
                <c:pt idx="238">
                  <c:v>994.58730927502802</c:v>
                </c:pt>
                <c:pt idx="239">
                  <c:v>995.89296481885503</c:v>
                </c:pt>
                <c:pt idx="240">
                  <c:v>997.19862036268023</c:v>
                </c:pt>
                <c:pt idx="241">
                  <c:v>998.50427590650725</c:v>
                </c:pt>
                <c:pt idx="242">
                  <c:v>999.80993145033426</c:v>
                </c:pt>
                <c:pt idx="243">
                  <c:v>1001.1155869941595</c:v>
                </c:pt>
                <c:pt idx="244">
                  <c:v>1002.4212425379865</c:v>
                </c:pt>
                <c:pt idx="245">
                  <c:v>1003.7268980818135</c:v>
                </c:pt>
                <c:pt idx="246">
                  <c:v>1005.0325536256405</c:v>
                </c:pt>
                <c:pt idx="247">
                  <c:v>1006.3382091694657</c:v>
                </c:pt>
                <c:pt idx="248">
                  <c:v>1007.6438647132927</c:v>
                </c:pt>
                <c:pt idx="249">
                  <c:v>1008.9495202571197</c:v>
                </c:pt>
                <c:pt idx="250">
                  <c:v>1010.2551758009449</c:v>
                </c:pt>
                <c:pt idx="251">
                  <c:v>1011.5608313447719</c:v>
                </c:pt>
                <c:pt idx="252">
                  <c:v>1012.866486888599</c:v>
                </c:pt>
                <c:pt idx="253">
                  <c:v>1014.1721424324242</c:v>
                </c:pt>
                <c:pt idx="254">
                  <c:v>1015.4777979762512</c:v>
                </c:pt>
                <c:pt idx="255">
                  <c:v>1016.7834535200782</c:v>
                </c:pt>
                <c:pt idx="256">
                  <c:v>1018.0891090639052</c:v>
                </c:pt>
                <c:pt idx="257">
                  <c:v>1019.3947646077304</c:v>
                </c:pt>
                <c:pt idx="258">
                  <c:v>1020.7004201515574</c:v>
                </c:pt>
                <c:pt idx="259">
                  <c:v>1022.0060756953844</c:v>
                </c:pt>
                <c:pt idx="260">
                  <c:v>1023.3117312392096</c:v>
                </c:pt>
                <c:pt idx="261">
                  <c:v>1024.6173867830366</c:v>
                </c:pt>
                <c:pt idx="262">
                  <c:v>1025.9230423268637</c:v>
                </c:pt>
                <c:pt idx="263">
                  <c:v>1027.2286978706888</c:v>
                </c:pt>
                <c:pt idx="264">
                  <c:v>1028.5343534145159</c:v>
                </c:pt>
                <c:pt idx="265">
                  <c:v>1029.8400089583429</c:v>
                </c:pt>
                <c:pt idx="266">
                  <c:v>1031.1456645021699</c:v>
                </c:pt>
                <c:pt idx="267">
                  <c:v>1032.4513200459951</c:v>
                </c:pt>
                <c:pt idx="268">
                  <c:v>1033.7569755898221</c:v>
                </c:pt>
                <c:pt idx="269">
                  <c:v>1035.0626311336491</c:v>
                </c:pt>
                <c:pt idx="270">
                  <c:v>1036.3682866774743</c:v>
                </c:pt>
                <c:pt idx="271">
                  <c:v>1037.6739422213013</c:v>
                </c:pt>
                <c:pt idx="272">
                  <c:v>1038.9795977651283</c:v>
                </c:pt>
                <c:pt idx="273">
                  <c:v>1040.2852533089535</c:v>
                </c:pt>
                <c:pt idx="274">
                  <c:v>1041.5909088527806</c:v>
                </c:pt>
                <c:pt idx="275">
                  <c:v>1042.8965643966076</c:v>
                </c:pt>
                <c:pt idx="276">
                  <c:v>1044.2022199404346</c:v>
                </c:pt>
                <c:pt idx="277">
                  <c:v>1045.5078754842598</c:v>
                </c:pt>
                <c:pt idx="278">
                  <c:v>1046.8135310280868</c:v>
                </c:pt>
                <c:pt idx="279">
                  <c:v>1048.1191865719138</c:v>
                </c:pt>
                <c:pt idx="280">
                  <c:v>1049.424842115739</c:v>
                </c:pt>
                <c:pt idx="281">
                  <c:v>1050.730497659566</c:v>
                </c:pt>
                <c:pt idx="282">
                  <c:v>1052.036153203393</c:v>
                </c:pt>
                <c:pt idx="283">
                  <c:v>1053.3418087472201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6-4707-A21B-43584D1521AA}"/>
            </c:ext>
          </c:extLst>
        </c:ser>
        <c:ser>
          <c:idx val="1"/>
          <c:order val="1"/>
          <c:tx>
            <c:strRef>
              <c:f>Data150!$K$1</c:f>
              <c:strCache>
                <c:ptCount val="1"/>
                <c:pt idx="0">
                  <c:v>Quadratic Trend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Data150!$K$2:$K$285</c:f>
              <c:numCache>
                <c:formatCode>0.000</c:formatCode>
                <c:ptCount val="284"/>
                <c:pt idx="0">
                  <c:v>701.47950929723447</c:v>
                </c:pt>
                <c:pt idx="1">
                  <c:v>702.4112096583267</c:v>
                </c:pt>
                <c:pt idx="2">
                  <c:v>703.34556218382204</c:v>
                </c:pt>
                <c:pt idx="3">
                  <c:v>704.28256687370595</c:v>
                </c:pt>
                <c:pt idx="4">
                  <c:v>705.22222372803662</c:v>
                </c:pt>
                <c:pt idx="5">
                  <c:v>706.16453274679952</c:v>
                </c:pt>
                <c:pt idx="6">
                  <c:v>707.10949392996554</c:v>
                </c:pt>
                <c:pt idx="7">
                  <c:v>708.05710727754922</c:v>
                </c:pt>
                <c:pt idx="8">
                  <c:v>709.00737278955057</c:v>
                </c:pt>
                <c:pt idx="9">
                  <c:v>709.96029046592594</c:v>
                </c:pt>
                <c:pt idx="10">
                  <c:v>710.91586030676262</c:v>
                </c:pt>
                <c:pt idx="11">
                  <c:v>711.87408231201698</c:v>
                </c:pt>
                <c:pt idx="12">
                  <c:v>712.83495648168901</c:v>
                </c:pt>
                <c:pt idx="13">
                  <c:v>713.79848281576415</c:v>
                </c:pt>
                <c:pt idx="14">
                  <c:v>714.76466131427151</c:v>
                </c:pt>
                <c:pt idx="15">
                  <c:v>715.73349197718198</c:v>
                </c:pt>
                <c:pt idx="16">
                  <c:v>716.70497480449558</c:v>
                </c:pt>
                <c:pt idx="17">
                  <c:v>717.67910979624139</c:v>
                </c:pt>
                <c:pt idx="18">
                  <c:v>718.65589695240487</c:v>
                </c:pt>
                <c:pt idx="19">
                  <c:v>719.63533627298602</c:v>
                </c:pt>
                <c:pt idx="20">
                  <c:v>720.61742775798484</c:v>
                </c:pt>
                <c:pt idx="21">
                  <c:v>721.60217140740133</c:v>
                </c:pt>
                <c:pt idx="22">
                  <c:v>722.58956722123548</c:v>
                </c:pt>
                <c:pt idx="23">
                  <c:v>723.5796151994582</c:v>
                </c:pt>
                <c:pt idx="24">
                  <c:v>724.57231534212769</c:v>
                </c:pt>
                <c:pt idx="25">
                  <c:v>725.56766764921485</c:v>
                </c:pt>
                <c:pt idx="26">
                  <c:v>726.56567212070513</c:v>
                </c:pt>
                <c:pt idx="27">
                  <c:v>727.56632875662763</c:v>
                </c:pt>
                <c:pt idx="28">
                  <c:v>728.56963755696779</c:v>
                </c:pt>
                <c:pt idx="29">
                  <c:v>729.57559852168197</c:v>
                </c:pt>
                <c:pt idx="30">
                  <c:v>730.58421165084292</c:v>
                </c:pt>
                <c:pt idx="31">
                  <c:v>731.59547694443609</c:v>
                </c:pt>
                <c:pt idx="32">
                  <c:v>732.60939440243237</c:v>
                </c:pt>
                <c:pt idx="33">
                  <c:v>733.62596402484633</c:v>
                </c:pt>
                <c:pt idx="34">
                  <c:v>734.64518581167795</c:v>
                </c:pt>
                <c:pt idx="35">
                  <c:v>735.66705976292724</c:v>
                </c:pt>
                <c:pt idx="36">
                  <c:v>736.69158587856509</c:v>
                </c:pt>
                <c:pt idx="37">
                  <c:v>737.71876415864972</c:v>
                </c:pt>
                <c:pt idx="38">
                  <c:v>738.74859460315201</c:v>
                </c:pt>
                <c:pt idx="39">
                  <c:v>739.78107721207198</c:v>
                </c:pt>
                <c:pt idx="40">
                  <c:v>740.81621198539506</c:v>
                </c:pt>
                <c:pt idx="41">
                  <c:v>741.85399892315036</c:v>
                </c:pt>
                <c:pt idx="42">
                  <c:v>742.89443802529422</c:v>
                </c:pt>
                <c:pt idx="43">
                  <c:v>743.93752929187031</c:v>
                </c:pt>
                <c:pt idx="44">
                  <c:v>744.98327272287861</c:v>
                </c:pt>
                <c:pt idx="45">
                  <c:v>746.03166831829003</c:v>
                </c:pt>
                <c:pt idx="46">
                  <c:v>747.08271607811912</c:v>
                </c:pt>
                <c:pt idx="47">
                  <c:v>748.13641600236588</c:v>
                </c:pt>
                <c:pt idx="48">
                  <c:v>749.1927680910303</c:v>
                </c:pt>
                <c:pt idx="49">
                  <c:v>750.25177234409784</c:v>
                </c:pt>
                <c:pt idx="50">
                  <c:v>751.31342876159761</c:v>
                </c:pt>
                <c:pt idx="51">
                  <c:v>752.37773734350048</c:v>
                </c:pt>
                <c:pt idx="52">
                  <c:v>753.44469808983558</c:v>
                </c:pt>
                <c:pt idx="53">
                  <c:v>754.51431100058835</c:v>
                </c:pt>
                <c:pt idx="54">
                  <c:v>755.58657607575879</c:v>
                </c:pt>
                <c:pt idx="55">
                  <c:v>756.66149331533234</c:v>
                </c:pt>
                <c:pt idx="56">
                  <c:v>757.739062719309</c:v>
                </c:pt>
                <c:pt idx="57">
                  <c:v>758.81928428771789</c:v>
                </c:pt>
                <c:pt idx="58">
                  <c:v>759.902158020559</c:v>
                </c:pt>
                <c:pt idx="59">
                  <c:v>760.98768391780322</c:v>
                </c:pt>
                <c:pt idx="60">
                  <c:v>762.07586197946512</c:v>
                </c:pt>
                <c:pt idx="61">
                  <c:v>763.16669220555923</c:v>
                </c:pt>
                <c:pt idx="62">
                  <c:v>764.26017459602735</c:v>
                </c:pt>
                <c:pt idx="63">
                  <c:v>765.35630915094225</c:v>
                </c:pt>
                <c:pt idx="64">
                  <c:v>766.45509587027482</c:v>
                </c:pt>
                <c:pt idx="65">
                  <c:v>767.55653475402505</c:v>
                </c:pt>
                <c:pt idx="66">
                  <c:v>768.66062580219295</c:v>
                </c:pt>
                <c:pt idx="67">
                  <c:v>769.76736901476397</c:v>
                </c:pt>
                <c:pt idx="68">
                  <c:v>770.87676439176721</c:v>
                </c:pt>
                <c:pt idx="69">
                  <c:v>771.98881193315901</c:v>
                </c:pt>
                <c:pt idx="70">
                  <c:v>773.10351163898304</c:v>
                </c:pt>
                <c:pt idx="71">
                  <c:v>774.22086350923928</c:v>
                </c:pt>
                <c:pt idx="72">
                  <c:v>775.34086754389864</c:v>
                </c:pt>
                <c:pt idx="73">
                  <c:v>776.46352374299022</c:v>
                </c:pt>
                <c:pt idx="74">
                  <c:v>777.58883210648492</c:v>
                </c:pt>
                <c:pt idx="75">
                  <c:v>778.71679263436818</c:v>
                </c:pt>
                <c:pt idx="76">
                  <c:v>779.84740532669821</c:v>
                </c:pt>
                <c:pt idx="77">
                  <c:v>780.98067018346046</c:v>
                </c:pt>
                <c:pt idx="78">
                  <c:v>782.11658720462583</c:v>
                </c:pt>
                <c:pt idx="79">
                  <c:v>783.25515639019432</c:v>
                </c:pt>
                <c:pt idx="80">
                  <c:v>784.39637774019502</c:v>
                </c:pt>
                <c:pt idx="81">
                  <c:v>785.54025125461339</c:v>
                </c:pt>
                <c:pt idx="82">
                  <c:v>786.68677693342033</c:v>
                </c:pt>
                <c:pt idx="83">
                  <c:v>787.83595477667404</c:v>
                </c:pt>
                <c:pt idx="84">
                  <c:v>788.98778478433087</c:v>
                </c:pt>
                <c:pt idx="85">
                  <c:v>790.14226695641992</c:v>
                </c:pt>
                <c:pt idx="86">
                  <c:v>791.29940129291208</c:v>
                </c:pt>
                <c:pt idx="87">
                  <c:v>792.45918779383646</c:v>
                </c:pt>
                <c:pt idx="88">
                  <c:v>793.62162645916396</c:v>
                </c:pt>
                <c:pt idx="89">
                  <c:v>794.78671728888003</c:v>
                </c:pt>
                <c:pt idx="90">
                  <c:v>795.95446028304286</c:v>
                </c:pt>
                <c:pt idx="91">
                  <c:v>797.12485544162337</c:v>
                </c:pt>
                <c:pt idx="92">
                  <c:v>798.29790276462154</c:v>
                </c:pt>
                <c:pt idx="93">
                  <c:v>799.47360225203738</c:v>
                </c:pt>
                <c:pt idx="94">
                  <c:v>800.65195390387089</c:v>
                </c:pt>
                <c:pt idx="95">
                  <c:v>801.83295772009296</c:v>
                </c:pt>
                <c:pt idx="96">
                  <c:v>803.01661370076181</c:v>
                </c:pt>
                <c:pt idx="97">
                  <c:v>804.20292184583377</c:v>
                </c:pt>
                <c:pt idx="98">
                  <c:v>805.39188215533795</c:v>
                </c:pt>
                <c:pt idx="99">
                  <c:v>806.5834946292598</c:v>
                </c:pt>
                <c:pt idx="100">
                  <c:v>807.77775926758477</c:v>
                </c:pt>
                <c:pt idx="101">
                  <c:v>808.9746760703274</c:v>
                </c:pt>
                <c:pt idx="102">
                  <c:v>810.17424503747316</c:v>
                </c:pt>
                <c:pt idx="103">
                  <c:v>811.37646616905113</c:v>
                </c:pt>
                <c:pt idx="104">
                  <c:v>812.58133946504677</c:v>
                </c:pt>
                <c:pt idx="105">
                  <c:v>813.78886492546008</c:v>
                </c:pt>
                <c:pt idx="106">
                  <c:v>814.99904255029105</c:v>
                </c:pt>
                <c:pt idx="107">
                  <c:v>816.2118723395397</c:v>
                </c:pt>
                <c:pt idx="108">
                  <c:v>817.4273542931769</c:v>
                </c:pt>
                <c:pt idx="109">
                  <c:v>818.64548841126089</c:v>
                </c:pt>
                <c:pt idx="110">
                  <c:v>819.86627469376253</c:v>
                </c:pt>
                <c:pt idx="111">
                  <c:v>821.08971314068185</c:v>
                </c:pt>
                <c:pt idx="112">
                  <c:v>822.31580375200429</c:v>
                </c:pt>
                <c:pt idx="113">
                  <c:v>823.54454652775894</c:v>
                </c:pt>
                <c:pt idx="114">
                  <c:v>824.77594146791671</c:v>
                </c:pt>
                <c:pt idx="115">
                  <c:v>826.0099885724776</c:v>
                </c:pt>
                <c:pt idx="116">
                  <c:v>827.2466878414707</c:v>
                </c:pt>
                <c:pt idx="117">
                  <c:v>828.48603927488148</c:v>
                </c:pt>
                <c:pt idx="118">
                  <c:v>829.72804287272447</c:v>
                </c:pt>
                <c:pt idx="119">
                  <c:v>830.97269863497058</c:v>
                </c:pt>
                <c:pt idx="120">
                  <c:v>832.22000656163436</c:v>
                </c:pt>
                <c:pt idx="121">
                  <c:v>833.46996665271581</c:v>
                </c:pt>
                <c:pt idx="122">
                  <c:v>834.72257890818582</c:v>
                </c:pt>
                <c:pt idx="123">
                  <c:v>835.97784332808806</c:v>
                </c:pt>
                <c:pt idx="124">
                  <c:v>837.23575991242251</c:v>
                </c:pt>
                <c:pt idx="125">
                  <c:v>838.49632866117463</c:v>
                </c:pt>
                <c:pt idx="126">
                  <c:v>839.75954957434442</c:v>
                </c:pt>
                <c:pt idx="127">
                  <c:v>841.02542265191732</c:v>
                </c:pt>
                <c:pt idx="128">
                  <c:v>842.29394789389335</c:v>
                </c:pt>
                <c:pt idx="129">
                  <c:v>843.56512530030159</c:v>
                </c:pt>
                <c:pt idx="130">
                  <c:v>844.8389548711275</c:v>
                </c:pt>
                <c:pt idx="131">
                  <c:v>846.11543660638563</c:v>
                </c:pt>
                <c:pt idx="132">
                  <c:v>847.39457050604688</c:v>
                </c:pt>
                <c:pt idx="133">
                  <c:v>848.67635657012579</c:v>
                </c:pt>
                <c:pt idx="134">
                  <c:v>849.96079479862237</c:v>
                </c:pt>
                <c:pt idx="135">
                  <c:v>851.24788519150752</c:v>
                </c:pt>
                <c:pt idx="136">
                  <c:v>852.53762774883944</c:v>
                </c:pt>
                <c:pt idx="137">
                  <c:v>853.83002247058903</c:v>
                </c:pt>
                <c:pt idx="138">
                  <c:v>855.12506935675628</c:v>
                </c:pt>
                <c:pt idx="139">
                  <c:v>856.42276840734121</c:v>
                </c:pt>
                <c:pt idx="140">
                  <c:v>857.72311962232925</c:v>
                </c:pt>
                <c:pt idx="141">
                  <c:v>859.02612300172041</c:v>
                </c:pt>
                <c:pt idx="142">
                  <c:v>860.33177854554378</c:v>
                </c:pt>
                <c:pt idx="143">
                  <c:v>861.64008625379938</c:v>
                </c:pt>
                <c:pt idx="144">
                  <c:v>862.9510461264581</c:v>
                </c:pt>
                <c:pt idx="145">
                  <c:v>864.26465816353448</c:v>
                </c:pt>
                <c:pt idx="146">
                  <c:v>865.58092236504308</c:v>
                </c:pt>
                <c:pt idx="147">
                  <c:v>866.8998387309548</c:v>
                </c:pt>
                <c:pt idx="148">
                  <c:v>868.22140726125508</c:v>
                </c:pt>
                <c:pt idx="149">
                  <c:v>869.54562795600214</c:v>
                </c:pt>
                <c:pt idx="150">
                  <c:v>870.87250081516686</c:v>
                </c:pt>
                <c:pt idx="151">
                  <c:v>872.20202583874925</c:v>
                </c:pt>
                <c:pt idx="152">
                  <c:v>873.53420302674931</c:v>
                </c:pt>
                <c:pt idx="153">
                  <c:v>874.86903237915249</c:v>
                </c:pt>
                <c:pt idx="154">
                  <c:v>876.20651389598788</c:v>
                </c:pt>
                <c:pt idx="155">
                  <c:v>877.54664757721184</c:v>
                </c:pt>
                <c:pt idx="156">
                  <c:v>878.88943342286802</c:v>
                </c:pt>
                <c:pt idx="157">
                  <c:v>880.23487143295642</c:v>
                </c:pt>
                <c:pt idx="158">
                  <c:v>881.58296160744794</c:v>
                </c:pt>
                <c:pt idx="159">
                  <c:v>882.93370394635713</c:v>
                </c:pt>
                <c:pt idx="160">
                  <c:v>884.28709844969853</c:v>
                </c:pt>
                <c:pt idx="161">
                  <c:v>885.64314511741395</c:v>
                </c:pt>
                <c:pt idx="162">
                  <c:v>887.00184394957614</c:v>
                </c:pt>
                <c:pt idx="163">
                  <c:v>888.363194946156</c:v>
                </c:pt>
                <c:pt idx="164">
                  <c:v>889.72719810715353</c:v>
                </c:pt>
                <c:pt idx="165">
                  <c:v>891.09385343256872</c:v>
                </c:pt>
                <c:pt idx="166">
                  <c:v>892.46316092240158</c:v>
                </c:pt>
                <c:pt idx="167">
                  <c:v>893.83512057663756</c:v>
                </c:pt>
                <c:pt idx="168">
                  <c:v>895.20973239527666</c:v>
                </c:pt>
                <c:pt idx="169">
                  <c:v>896.58699637836253</c:v>
                </c:pt>
                <c:pt idx="170">
                  <c:v>897.96691252585151</c:v>
                </c:pt>
                <c:pt idx="171">
                  <c:v>899.34948083777272</c:v>
                </c:pt>
                <c:pt idx="172">
                  <c:v>900.73470131409704</c:v>
                </c:pt>
                <c:pt idx="173">
                  <c:v>902.12257395483903</c:v>
                </c:pt>
                <c:pt idx="174">
                  <c:v>903.51309875998413</c:v>
                </c:pt>
                <c:pt idx="175">
                  <c:v>904.90627572956146</c:v>
                </c:pt>
                <c:pt idx="176">
                  <c:v>906.30210486355645</c:v>
                </c:pt>
                <c:pt idx="177">
                  <c:v>907.70058616196911</c:v>
                </c:pt>
                <c:pt idx="178">
                  <c:v>909.10171962479944</c:v>
                </c:pt>
                <c:pt idx="179">
                  <c:v>910.50550525204744</c:v>
                </c:pt>
                <c:pt idx="180">
                  <c:v>911.91194304371311</c:v>
                </c:pt>
                <c:pt idx="181">
                  <c:v>913.32103299976734</c:v>
                </c:pt>
                <c:pt idx="182">
                  <c:v>914.73277512025379</c:v>
                </c:pt>
                <c:pt idx="183">
                  <c:v>916.14716940517246</c:v>
                </c:pt>
                <c:pt idx="184">
                  <c:v>917.56421585449425</c:v>
                </c:pt>
                <c:pt idx="185">
                  <c:v>918.98391446824826</c:v>
                </c:pt>
                <c:pt idx="186">
                  <c:v>920.40626524640538</c:v>
                </c:pt>
                <c:pt idx="187">
                  <c:v>921.83126818899473</c:v>
                </c:pt>
                <c:pt idx="188">
                  <c:v>923.25892329595808</c:v>
                </c:pt>
                <c:pt idx="189">
                  <c:v>924.68923056736821</c:v>
                </c:pt>
                <c:pt idx="190">
                  <c:v>926.12219000319601</c:v>
                </c:pt>
                <c:pt idx="191">
                  <c:v>927.55780160344148</c:v>
                </c:pt>
                <c:pt idx="192">
                  <c:v>928.99606536810461</c:v>
                </c:pt>
                <c:pt idx="193">
                  <c:v>930.43698129718541</c:v>
                </c:pt>
                <c:pt idx="194">
                  <c:v>931.88054939065478</c:v>
                </c:pt>
                <c:pt idx="195">
                  <c:v>933.32676964857092</c:v>
                </c:pt>
                <c:pt idx="196">
                  <c:v>934.77564207090472</c:v>
                </c:pt>
                <c:pt idx="197">
                  <c:v>936.22716665764165</c:v>
                </c:pt>
                <c:pt idx="198">
                  <c:v>937.68134340881079</c:v>
                </c:pt>
                <c:pt idx="199">
                  <c:v>939.13817232438305</c:v>
                </c:pt>
                <c:pt idx="200">
                  <c:v>940.59765340438753</c:v>
                </c:pt>
                <c:pt idx="201">
                  <c:v>942.05978664876602</c:v>
                </c:pt>
                <c:pt idx="202">
                  <c:v>943.52457205760584</c:v>
                </c:pt>
                <c:pt idx="203">
                  <c:v>944.99200963084877</c:v>
                </c:pt>
                <c:pt idx="204">
                  <c:v>946.46209936850937</c:v>
                </c:pt>
                <c:pt idx="205">
                  <c:v>947.93484127058764</c:v>
                </c:pt>
                <c:pt idx="206">
                  <c:v>949.41023533708358</c:v>
                </c:pt>
                <c:pt idx="207">
                  <c:v>950.88828156796808</c:v>
                </c:pt>
                <c:pt idx="208">
                  <c:v>952.36897996329935</c:v>
                </c:pt>
                <c:pt idx="209">
                  <c:v>953.85233052304829</c:v>
                </c:pt>
                <c:pt idx="210">
                  <c:v>955.33833324720035</c:v>
                </c:pt>
                <c:pt idx="211">
                  <c:v>956.82698813578463</c:v>
                </c:pt>
                <c:pt idx="212">
                  <c:v>958.31829518878658</c:v>
                </c:pt>
                <c:pt idx="213">
                  <c:v>959.81225440619164</c:v>
                </c:pt>
                <c:pt idx="214">
                  <c:v>961.30886578799982</c:v>
                </c:pt>
                <c:pt idx="215">
                  <c:v>962.80812933424022</c:v>
                </c:pt>
                <c:pt idx="216">
                  <c:v>964.31004504489829</c:v>
                </c:pt>
                <c:pt idx="217">
                  <c:v>965.81461291998858</c:v>
                </c:pt>
                <c:pt idx="218">
                  <c:v>967.32183295948198</c:v>
                </c:pt>
                <c:pt idx="219">
                  <c:v>968.83170516339305</c:v>
                </c:pt>
                <c:pt idx="220">
                  <c:v>970.34422953172179</c:v>
                </c:pt>
                <c:pt idx="221">
                  <c:v>971.8594060644391</c:v>
                </c:pt>
                <c:pt idx="222">
                  <c:v>973.37723476160318</c:v>
                </c:pt>
                <c:pt idx="223">
                  <c:v>974.89771562317037</c:v>
                </c:pt>
                <c:pt idx="224">
                  <c:v>976.42084864916978</c:v>
                </c:pt>
                <c:pt idx="225">
                  <c:v>977.94663383958687</c:v>
                </c:pt>
                <c:pt idx="226">
                  <c:v>979.47507119442162</c:v>
                </c:pt>
                <c:pt idx="227">
                  <c:v>981.00616071363038</c:v>
                </c:pt>
                <c:pt idx="228">
                  <c:v>982.53990239730047</c:v>
                </c:pt>
                <c:pt idx="229">
                  <c:v>984.07629624537367</c:v>
                </c:pt>
                <c:pt idx="230">
                  <c:v>985.61534225786454</c:v>
                </c:pt>
                <c:pt idx="231">
                  <c:v>987.15704043478763</c:v>
                </c:pt>
                <c:pt idx="232">
                  <c:v>988.70139077611384</c:v>
                </c:pt>
                <c:pt idx="233">
                  <c:v>990.24839328185772</c:v>
                </c:pt>
                <c:pt idx="234">
                  <c:v>991.79804795199016</c:v>
                </c:pt>
                <c:pt idx="235">
                  <c:v>993.35035478656937</c:v>
                </c:pt>
                <c:pt idx="236">
                  <c:v>994.90531378556625</c:v>
                </c:pt>
                <c:pt idx="237">
                  <c:v>996.4629249489808</c:v>
                </c:pt>
                <c:pt idx="238">
                  <c:v>998.02318827679846</c:v>
                </c:pt>
                <c:pt idx="239">
                  <c:v>999.58610376904835</c:v>
                </c:pt>
                <c:pt idx="240">
                  <c:v>1001.1516714256868</c:v>
                </c:pt>
                <c:pt idx="241">
                  <c:v>1002.7198912467575</c:v>
                </c:pt>
                <c:pt idx="242">
                  <c:v>1004.2907632322604</c:v>
                </c:pt>
                <c:pt idx="243">
                  <c:v>1005.8642873821664</c:v>
                </c:pt>
                <c:pt idx="244">
                  <c:v>1007.44046369649</c:v>
                </c:pt>
                <c:pt idx="245">
                  <c:v>1009.0192921752459</c:v>
                </c:pt>
                <c:pt idx="246">
                  <c:v>1010.6007728184049</c:v>
                </c:pt>
                <c:pt idx="247">
                  <c:v>1012.1849056259525</c:v>
                </c:pt>
                <c:pt idx="248">
                  <c:v>1013.7716905979469</c:v>
                </c:pt>
                <c:pt idx="249">
                  <c:v>1015.3611277343589</c:v>
                </c:pt>
                <c:pt idx="250">
                  <c:v>1016.9532170351886</c:v>
                </c:pt>
                <c:pt idx="251">
                  <c:v>1018.5479585004359</c:v>
                </c:pt>
                <c:pt idx="252">
                  <c:v>1020.1453521301009</c:v>
                </c:pt>
                <c:pt idx="253">
                  <c:v>1021.74539792414</c:v>
                </c:pt>
                <c:pt idx="254">
                  <c:v>1023.3480958826403</c:v>
                </c:pt>
                <c:pt idx="255">
                  <c:v>1024.9534460055584</c:v>
                </c:pt>
                <c:pt idx="256">
                  <c:v>1026.5614482928795</c:v>
                </c:pt>
                <c:pt idx="257">
                  <c:v>1028.1721027446329</c:v>
                </c:pt>
                <c:pt idx="258">
                  <c:v>1029.7854093607893</c:v>
                </c:pt>
                <c:pt idx="259">
                  <c:v>1031.4013681413635</c:v>
                </c:pt>
                <c:pt idx="260">
                  <c:v>1033.0199790863262</c:v>
                </c:pt>
                <c:pt idx="261">
                  <c:v>1034.6412421957502</c:v>
                </c:pt>
                <c:pt idx="262">
                  <c:v>1036.2651574695774</c:v>
                </c:pt>
                <c:pt idx="263">
                  <c:v>1037.8917249078222</c:v>
                </c:pt>
                <c:pt idx="264">
                  <c:v>1039.5209445104847</c:v>
                </c:pt>
                <c:pt idx="265">
                  <c:v>1041.1528162775503</c:v>
                </c:pt>
                <c:pt idx="266">
                  <c:v>1042.7873402090481</c:v>
                </c:pt>
                <c:pt idx="267">
                  <c:v>1044.4245163049345</c:v>
                </c:pt>
                <c:pt idx="268">
                  <c:v>1046.0643445652677</c:v>
                </c:pt>
                <c:pt idx="269">
                  <c:v>1047.706824990004</c:v>
                </c:pt>
                <c:pt idx="270">
                  <c:v>1049.3519575791724</c:v>
                </c:pt>
                <c:pt idx="271">
                  <c:v>1050.9997423327441</c:v>
                </c:pt>
                <c:pt idx="272">
                  <c:v>1052.6501792507479</c:v>
                </c:pt>
                <c:pt idx="273">
                  <c:v>1054.3032683331257</c:v>
                </c:pt>
                <c:pt idx="274">
                  <c:v>1055.9590095799504</c:v>
                </c:pt>
                <c:pt idx="275">
                  <c:v>1057.6174029911926</c:v>
                </c:pt>
                <c:pt idx="276">
                  <c:v>1059.2784485668526</c:v>
                </c:pt>
                <c:pt idx="277">
                  <c:v>1060.9421463069302</c:v>
                </c:pt>
                <c:pt idx="278">
                  <c:v>1062.6084962114255</c:v>
                </c:pt>
                <c:pt idx="279">
                  <c:v>1064.2774982803385</c:v>
                </c:pt>
                <c:pt idx="280">
                  <c:v>1065.94915251364</c:v>
                </c:pt>
                <c:pt idx="281">
                  <c:v>1067.6234589113883</c:v>
                </c:pt>
                <c:pt idx="282">
                  <c:v>1069.3004174735397</c:v>
                </c:pt>
                <c:pt idx="283">
                  <c:v>1070.9800282001233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6-4707-A21B-43584D1521AA}"/>
            </c:ext>
          </c:extLst>
        </c:ser>
        <c:ser>
          <c:idx val="2"/>
          <c:order val="2"/>
          <c:tx>
            <c:strRef>
              <c:f>Data150!$F$1</c:f>
              <c:strCache>
                <c:ptCount val="1"/>
                <c:pt idx="0">
                  <c:v>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Data150!$F$2:$F$285</c:f>
              <c:numCache>
                <c:formatCode>General</c:formatCode>
                <c:ptCount val="284"/>
                <c:pt idx="0">
                  <c:v>709</c:v>
                </c:pt>
                <c:pt idx="1">
                  <c:v>691</c:v>
                </c:pt>
                <c:pt idx="2">
                  <c:v>713</c:v>
                </c:pt>
                <c:pt idx="3">
                  <c:v>670</c:v>
                </c:pt>
                <c:pt idx="4">
                  <c:v>654</c:v>
                </c:pt>
                <c:pt idx="5">
                  <c:v>736</c:v>
                </c:pt>
                <c:pt idx="6">
                  <c:v>711</c:v>
                </c:pt>
                <c:pt idx="7">
                  <c:v>687</c:v>
                </c:pt>
                <c:pt idx="8">
                  <c:v>708</c:v>
                </c:pt>
                <c:pt idx="9">
                  <c:v>717</c:v>
                </c:pt>
                <c:pt idx="10">
                  <c:v>731</c:v>
                </c:pt>
                <c:pt idx="11">
                  <c:v>682</c:v>
                </c:pt>
                <c:pt idx="12">
                  <c:v>673</c:v>
                </c:pt>
                <c:pt idx="13">
                  <c:v>722</c:v>
                </c:pt>
                <c:pt idx="14">
                  <c:v>714</c:v>
                </c:pt>
                <c:pt idx="15">
                  <c:v>682</c:v>
                </c:pt>
                <c:pt idx="16">
                  <c:v>694</c:v>
                </c:pt>
                <c:pt idx="17">
                  <c:v>750</c:v>
                </c:pt>
                <c:pt idx="18">
                  <c:v>715</c:v>
                </c:pt>
                <c:pt idx="19">
                  <c:v>683</c:v>
                </c:pt>
                <c:pt idx="20">
                  <c:v>712</c:v>
                </c:pt>
                <c:pt idx="21">
                  <c:v>753</c:v>
                </c:pt>
                <c:pt idx="22">
                  <c:v>751</c:v>
                </c:pt>
                <c:pt idx="23">
                  <c:v>712</c:v>
                </c:pt>
                <c:pt idx="24">
                  <c:v>686</c:v>
                </c:pt>
                <c:pt idx="25">
                  <c:v>741</c:v>
                </c:pt>
                <c:pt idx="26">
                  <c:v>770</c:v>
                </c:pt>
                <c:pt idx="27">
                  <c:v>716</c:v>
                </c:pt>
                <c:pt idx="28">
                  <c:v>692</c:v>
                </c:pt>
                <c:pt idx="29">
                  <c:v>757</c:v>
                </c:pt>
                <c:pt idx="30">
                  <c:v>783</c:v>
                </c:pt>
                <c:pt idx="31">
                  <c:v>719</c:v>
                </c:pt>
                <c:pt idx="32">
                  <c:v>680</c:v>
                </c:pt>
                <c:pt idx="33">
                  <c:v>770</c:v>
                </c:pt>
                <c:pt idx="34">
                  <c:v>759</c:v>
                </c:pt>
                <c:pt idx="35">
                  <c:v>735</c:v>
                </c:pt>
                <c:pt idx="36">
                  <c:v>731</c:v>
                </c:pt>
                <c:pt idx="37">
                  <c:v>777</c:v>
                </c:pt>
                <c:pt idx="38">
                  <c:v>774</c:v>
                </c:pt>
                <c:pt idx="39">
                  <c:v>737</c:v>
                </c:pt>
                <c:pt idx="40">
                  <c:v>710</c:v>
                </c:pt>
                <c:pt idx="41">
                  <c:v>759</c:v>
                </c:pt>
                <c:pt idx="42">
                  <c:v>770</c:v>
                </c:pt>
                <c:pt idx="43">
                  <c:v>705</c:v>
                </c:pt>
                <c:pt idx="44">
                  <c:v>727</c:v>
                </c:pt>
                <c:pt idx="45">
                  <c:v>773</c:v>
                </c:pt>
                <c:pt idx="46">
                  <c:v>761</c:v>
                </c:pt>
                <c:pt idx="47">
                  <c:v>729</c:v>
                </c:pt>
                <c:pt idx="48">
                  <c:v>723</c:v>
                </c:pt>
                <c:pt idx="49">
                  <c:v>781</c:v>
                </c:pt>
                <c:pt idx="50">
                  <c:v>765</c:v>
                </c:pt>
                <c:pt idx="51">
                  <c:v>730</c:v>
                </c:pt>
                <c:pt idx="52">
                  <c:v>712</c:v>
                </c:pt>
                <c:pt idx="53">
                  <c:v>823</c:v>
                </c:pt>
                <c:pt idx="54">
                  <c:v>797</c:v>
                </c:pt>
                <c:pt idx="55">
                  <c:v>741</c:v>
                </c:pt>
                <c:pt idx="56">
                  <c:v>739</c:v>
                </c:pt>
                <c:pt idx="57">
                  <c:v>803</c:v>
                </c:pt>
                <c:pt idx="58">
                  <c:v>780</c:v>
                </c:pt>
                <c:pt idx="59">
                  <c:v>735</c:v>
                </c:pt>
                <c:pt idx="60">
                  <c:v>741</c:v>
                </c:pt>
                <c:pt idx="61">
                  <c:v>807</c:v>
                </c:pt>
                <c:pt idx="62">
                  <c:v>805</c:v>
                </c:pt>
                <c:pt idx="63">
                  <c:v>781</c:v>
                </c:pt>
                <c:pt idx="64">
                  <c:v>747</c:v>
                </c:pt>
                <c:pt idx="65">
                  <c:v>831</c:v>
                </c:pt>
                <c:pt idx="66">
                  <c:v>831</c:v>
                </c:pt>
                <c:pt idx="67">
                  <c:v>743</c:v>
                </c:pt>
                <c:pt idx="68">
                  <c:v>744</c:v>
                </c:pt>
                <c:pt idx="69">
                  <c:v>805</c:v>
                </c:pt>
                <c:pt idx="70">
                  <c:v>831</c:v>
                </c:pt>
                <c:pt idx="71">
                  <c:v>758</c:v>
                </c:pt>
                <c:pt idx="72">
                  <c:v>748</c:v>
                </c:pt>
                <c:pt idx="73">
                  <c:v>785</c:v>
                </c:pt>
                <c:pt idx="74">
                  <c:v>768</c:v>
                </c:pt>
                <c:pt idx="75">
                  <c:v>761</c:v>
                </c:pt>
                <c:pt idx="76">
                  <c:v>761</c:v>
                </c:pt>
                <c:pt idx="77">
                  <c:v>794</c:v>
                </c:pt>
                <c:pt idx="78">
                  <c:v>826</c:v>
                </c:pt>
                <c:pt idx="79">
                  <c:v>751</c:v>
                </c:pt>
                <c:pt idx="80">
                  <c:v>746</c:v>
                </c:pt>
                <c:pt idx="81">
                  <c:v>795</c:v>
                </c:pt>
                <c:pt idx="82">
                  <c:v>821</c:v>
                </c:pt>
                <c:pt idx="83">
                  <c:v>779</c:v>
                </c:pt>
                <c:pt idx="84">
                  <c:v>725</c:v>
                </c:pt>
                <c:pt idx="85">
                  <c:v>818</c:v>
                </c:pt>
                <c:pt idx="86">
                  <c:v>813</c:v>
                </c:pt>
                <c:pt idx="87">
                  <c:v>754</c:v>
                </c:pt>
                <c:pt idx="88">
                  <c:v>733</c:v>
                </c:pt>
                <c:pt idx="89">
                  <c:v>816</c:v>
                </c:pt>
                <c:pt idx="90">
                  <c:v>838</c:v>
                </c:pt>
                <c:pt idx="91">
                  <c:v>765</c:v>
                </c:pt>
                <c:pt idx="92">
                  <c:v>747</c:v>
                </c:pt>
                <c:pt idx="93">
                  <c:v>826</c:v>
                </c:pt>
                <c:pt idx="94">
                  <c:v>844</c:v>
                </c:pt>
                <c:pt idx="95">
                  <c:v>773</c:v>
                </c:pt>
                <c:pt idx="96">
                  <c:v>757</c:v>
                </c:pt>
                <c:pt idx="97">
                  <c:v>777</c:v>
                </c:pt>
                <c:pt idx="98">
                  <c:v>794</c:v>
                </c:pt>
                <c:pt idx="99">
                  <c:v>778</c:v>
                </c:pt>
                <c:pt idx="100">
                  <c:v>771</c:v>
                </c:pt>
                <c:pt idx="101">
                  <c:v>834</c:v>
                </c:pt>
                <c:pt idx="102">
                  <c:v>847</c:v>
                </c:pt>
                <c:pt idx="103">
                  <c:v>829</c:v>
                </c:pt>
                <c:pt idx="104">
                  <c:v>798</c:v>
                </c:pt>
                <c:pt idx="105">
                  <c:v>859</c:v>
                </c:pt>
                <c:pt idx="106">
                  <c:v>866</c:v>
                </c:pt>
                <c:pt idx="107">
                  <c:v>785</c:v>
                </c:pt>
                <c:pt idx="108">
                  <c:v>777</c:v>
                </c:pt>
                <c:pt idx="109">
                  <c:v>822</c:v>
                </c:pt>
                <c:pt idx="110">
                  <c:v>836</c:v>
                </c:pt>
                <c:pt idx="111">
                  <c:v>821</c:v>
                </c:pt>
                <c:pt idx="112">
                  <c:v>792</c:v>
                </c:pt>
                <c:pt idx="113">
                  <c:v>836</c:v>
                </c:pt>
                <c:pt idx="114">
                  <c:v>851</c:v>
                </c:pt>
                <c:pt idx="115">
                  <c:v>797</c:v>
                </c:pt>
                <c:pt idx="116">
                  <c:v>838</c:v>
                </c:pt>
                <c:pt idx="117">
                  <c:v>837</c:v>
                </c:pt>
                <c:pt idx="118">
                  <c:v>859</c:v>
                </c:pt>
                <c:pt idx="119">
                  <c:v>802</c:v>
                </c:pt>
                <c:pt idx="120">
                  <c:v>796</c:v>
                </c:pt>
                <c:pt idx="121">
                  <c:v>881</c:v>
                </c:pt>
                <c:pt idx="122">
                  <c:v>833</c:v>
                </c:pt>
                <c:pt idx="123">
                  <c:v>798</c:v>
                </c:pt>
                <c:pt idx="124">
                  <c:v>829</c:v>
                </c:pt>
                <c:pt idx="125">
                  <c:v>889</c:v>
                </c:pt>
                <c:pt idx="126">
                  <c:v>855</c:v>
                </c:pt>
                <c:pt idx="127">
                  <c:v>817</c:v>
                </c:pt>
                <c:pt idx="128">
                  <c:v>814</c:v>
                </c:pt>
                <c:pt idx="129">
                  <c:v>849</c:v>
                </c:pt>
                <c:pt idx="130">
                  <c:v>847</c:v>
                </c:pt>
                <c:pt idx="131">
                  <c:v>825</c:v>
                </c:pt>
                <c:pt idx="132">
                  <c:v>806</c:v>
                </c:pt>
                <c:pt idx="133">
                  <c:v>844</c:v>
                </c:pt>
                <c:pt idx="134">
                  <c:v>868</c:v>
                </c:pt>
                <c:pt idx="135">
                  <c:v>835</c:v>
                </c:pt>
                <c:pt idx="136">
                  <c:v>833</c:v>
                </c:pt>
                <c:pt idx="137">
                  <c:v>881</c:v>
                </c:pt>
                <c:pt idx="138">
                  <c:v>893</c:v>
                </c:pt>
                <c:pt idx="139">
                  <c:v>850</c:v>
                </c:pt>
                <c:pt idx="140">
                  <c:v>839</c:v>
                </c:pt>
                <c:pt idx="141">
                  <c:v>885</c:v>
                </c:pt>
                <c:pt idx="142">
                  <c:v>884</c:v>
                </c:pt>
                <c:pt idx="143">
                  <c:v>808</c:v>
                </c:pt>
                <c:pt idx="144">
                  <c:v>859</c:v>
                </c:pt>
                <c:pt idx="145">
                  <c:v>913</c:v>
                </c:pt>
                <c:pt idx="146">
                  <c:v>865</c:v>
                </c:pt>
                <c:pt idx="147">
                  <c:v>836</c:v>
                </c:pt>
                <c:pt idx="148">
                  <c:v>819</c:v>
                </c:pt>
                <c:pt idx="149">
                  <c:v>888</c:v>
                </c:pt>
                <c:pt idx="150">
                  <c:v>895</c:v>
                </c:pt>
                <c:pt idx="151">
                  <c:v>858</c:v>
                </c:pt>
                <c:pt idx="152">
                  <c:v>832</c:v>
                </c:pt>
                <c:pt idx="153">
                  <c:v>881</c:v>
                </c:pt>
                <c:pt idx="154">
                  <c:v>888</c:v>
                </c:pt>
                <c:pt idx="155">
                  <c:v>858</c:v>
                </c:pt>
                <c:pt idx="156">
                  <c:v>818</c:v>
                </c:pt>
                <c:pt idx="157">
                  <c:v>899</c:v>
                </c:pt>
                <c:pt idx="158">
                  <c:v>910</c:v>
                </c:pt>
                <c:pt idx="159">
                  <c:v>856</c:v>
                </c:pt>
                <c:pt idx="160">
                  <c:v>842</c:v>
                </c:pt>
                <c:pt idx="161">
                  <c:v>896</c:v>
                </c:pt>
                <c:pt idx="162">
                  <c:v>907</c:v>
                </c:pt>
                <c:pt idx="163">
                  <c:v>860</c:v>
                </c:pt>
                <c:pt idx="164">
                  <c:v>852</c:v>
                </c:pt>
                <c:pt idx="165">
                  <c:v>913</c:v>
                </c:pt>
                <c:pt idx="166">
                  <c:v>943</c:v>
                </c:pt>
                <c:pt idx="167">
                  <c:v>865</c:v>
                </c:pt>
                <c:pt idx="168">
                  <c:v>883</c:v>
                </c:pt>
                <c:pt idx="169">
                  <c:v>905</c:v>
                </c:pt>
                <c:pt idx="170">
                  <c:v>920</c:v>
                </c:pt>
                <c:pt idx="171">
                  <c:v>912</c:v>
                </c:pt>
                <c:pt idx="172">
                  <c:v>878</c:v>
                </c:pt>
                <c:pt idx="173">
                  <c:v>927</c:v>
                </c:pt>
                <c:pt idx="174">
                  <c:v>924</c:v>
                </c:pt>
                <c:pt idx="175">
                  <c:v>891</c:v>
                </c:pt>
                <c:pt idx="176">
                  <c:v>875</c:v>
                </c:pt>
                <c:pt idx="177">
                  <c:v>928</c:v>
                </c:pt>
                <c:pt idx="178">
                  <c:v>931</c:v>
                </c:pt>
                <c:pt idx="179">
                  <c:v>906</c:v>
                </c:pt>
                <c:pt idx="180">
                  <c:v>872</c:v>
                </c:pt>
                <c:pt idx="181">
                  <c:v>916</c:v>
                </c:pt>
                <c:pt idx="182">
                  <c:v>952</c:v>
                </c:pt>
                <c:pt idx="183">
                  <c:v>883</c:v>
                </c:pt>
                <c:pt idx="184">
                  <c:v>874</c:v>
                </c:pt>
                <c:pt idx="185">
                  <c:v>941</c:v>
                </c:pt>
                <c:pt idx="186">
                  <c:v>949</c:v>
                </c:pt>
                <c:pt idx="187">
                  <c:v>945</c:v>
                </c:pt>
                <c:pt idx="188">
                  <c:v>934</c:v>
                </c:pt>
                <c:pt idx="189">
                  <c:v>1008</c:v>
                </c:pt>
                <c:pt idx="190">
                  <c:v>965</c:v>
                </c:pt>
                <c:pt idx="191">
                  <c:v>920</c:v>
                </c:pt>
                <c:pt idx="192">
                  <c:v>888</c:v>
                </c:pt>
                <c:pt idx="193">
                  <c:v>973</c:v>
                </c:pt>
                <c:pt idx="194">
                  <c:v>1001</c:v>
                </c:pt>
                <c:pt idx="195">
                  <c:v>920</c:v>
                </c:pt>
                <c:pt idx="196">
                  <c:v>888</c:v>
                </c:pt>
                <c:pt idx="197">
                  <c:v>964</c:v>
                </c:pt>
                <c:pt idx="198">
                  <c:v>974</c:v>
                </c:pt>
                <c:pt idx="199">
                  <c:v>919</c:v>
                </c:pt>
                <c:pt idx="200">
                  <c:v>900</c:v>
                </c:pt>
                <c:pt idx="201">
                  <c:v>973</c:v>
                </c:pt>
                <c:pt idx="202">
                  <c:v>965</c:v>
                </c:pt>
                <c:pt idx="203">
                  <c:v>923</c:v>
                </c:pt>
                <c:pt idx="204">
                  <c:v>897</c:v>
                </c:pt>
                <c:pt idx="205">
                  <c:v>974</c:v>
                </c:pt>
                <c:pt idx="206">
                  <c:v>947</c:v>
                </c:pt>
                <c:pt idx="207">
                  <c:v>938</c:v>
                </c:pt>
                <c:pt idx="208">
                  <c:v>920</c:v>
                </c:pt>
                <c:pt idx="209">
                  <c:v>942</c:v>
                </c:pt>
                <c:pt idx="210">
                  <c:v>995</c:v>
                </c:pt>
                <c:pt idx="211">
                  <c:v>929</c:v>
                </c:pt>
                <c:pt idx="212">
                  <c:v>943</c:v>
                </c:pt>
                <c:pt idx="213">
                  <c:v>1022</c:v>
                </c:pt>
                <c:pt idx="214">
                  <c:v>969</c:v>
                </c:pt>
                <c:pt idx="215">
                  <c:v>939</c:v>
                </c:pt>
                <c:pt idx="216">
                  <c:v>922</c:v>
                </c:pt>
                <c:pt idx="217">
                  <c:v>968</c:v>
                </c:pt>
                <c:pt idx="218">
                  <c:v>983</c:v>
                </c:pt>
                <c:pt idx="219">
                  <c:v>938</c:v>
                </c:pt>
                <c:pt idx="220">
                  <c:v>912</c:v>
                </c:pt>
                <c:pt idx="221">
                  <c:v>971</c:v>
                </c:pt>
                <c:pt idx="222">
                  <c:v>975</c:v>
                </c:pt>
                <c:pt idx="223">
                  <c:v>942</c:v>
                </c:pt>
                <c:pt idx="224">
                  <c:v>950</c:v>
                </c:pt>
                <c:pt idx="225">
                  <c:v>1048</c:v>
                </c:pt>
                <c:pt idx="226">
                  <c:v>1006</c:v>
                </c:pt>
                <c:pt idx="227">
                  <c:v>999</c:v>
                </c:pt>
                <c:pt idx="228">
                  <c:v>974</c:v>
                </c:pt>
                <c:pt idx="229">
                  <c:v>1011</c:v>
                </c:pt>
                <c:pt idx="230">
                  <c:v>1020</c:v>
                </c:pt>
                <c:pt idx="231">
                  <c:v>972</c:v>
                </c:pt>
                <c:pt idx="232">
                  <c:v>959</c:v>
                </c:pt>
                <c:pt idx="233">
                  <c:v>1005</c:v>
                </c:pt>
                <c:pt idx="234">
                  <c:v>1048</c:v>
                </c:pt>
                <c:pt idx="235">
                  <c:v>996</c:v>
                </c:pt>
                <c:pt idx="236">
                  <c:v>973</c:v>
                </c:pt>
                <c:pt idx="237">
                  <c:v>1017</c:v>
                </c:pt>
                <c:pt idx="238">
                  <c:v>1010</c:v>
                </c:pt>
                <c:pt idx="239">
                  <c:v>976</c:v>
                </c:pt>
                <c:pt idx="240">
                  <c:v>991</c:v>
                </c:pt>
                <c:pt idx="241">
                  <c:v>1013</c:v>
                </c:pt>
                <c:pt idx="242">
                  <c:v>1029</c:v>
                </c:pt>
                <c:pt idx="243">
                  <c:v>974</c:v>
                </c:pt>
                <c:pt idx="244">
                  <c:v>979</c:v>
                </c:pt>
                <c:pt idx="245">
                  <c:v>1015</c:v>
                </c:pt>
                <c:pt idx="246">
                  <c:v>1021</c:v>
                </c:pt>
                <c:pt idx="247">
                  <c:v>1003</c:v>
                </c:pt>
                <c:pt idx="248">
                  <c:v>999</c:v>
                </c:pt>
                <c:pt idx="249">
                  <c:v>1021</c:v>
                </c:pt>
                <c:pt idx="250">
                  <c:v>1012</c:v>
                </c:pt>
                <c:pt idx="251">
                  <c:v>973</c:v>
                </c:pt>
                <c:pt idx="252">
                  <c:v>967</c:v>
                </c:pt>
                <c:pt idx="253">
                  <c:v>1024</c:v>
                </c:pt>
                <c:pt idx="254">
                  <c:v>1063</c:v>
                </c:pt>
                <c:pt idx="255">
                  <c:v>1000</c:v>
                </c:pt>
                <c:pt idx="256">
                  <c:v>983</c:v>
                </c:pt>
                <c:pt idx="257">
                  <c:v>1034</c:v>
                </c:pt>
                <c:pt idx="258">
                  <c:v>1046</c:v>
                </c:pt>
                <c:pt idx="259">
                  <c:v>1001</c:v>
                </c:pt>
                <c:pt idx="260">
                  <c:v>1020</c:v>
                </c:pt>
                <c:pt idx="261">
                  <c:v>1078</c:v>
                </c:pt>
                <c:pt idx="262">
                  <c:v>1083</c:v>
                </c:pt>
                <c:pt idx="263">
                  <c:v>1032</c:v>
                </c:pt>
                <c:pt idx="264">
                  <c:v>1043</c:v>
                </c:pt>
                <c:pt idx="265">
                  <c:v>1092</c:v>
                </c:pt>
                <c:pt idx="266">
                  <c:v>1090</c:v>
                </c:pt>
                <c:pt idx="267">
                  <c:v>1070</c:v>
                </c:pt>
                <c:pt idx="268">
                  <c:v>1000</c:v>
                </c:pt>
                <c:pt idx="269">
                  <c:v>1091</c:v>
                </c:pt>
                <c:pt idx="270">
                  <c:v>1086</c:v>
                </c:pt>
                <c:pt idx="271">
                  <c:v>1017</c:v>
                </c:pt>
                <c:pt idx="272">
                  <c:v>1013</c:v>
                </c:pt>
                <c:pt idx="273">
                  <c:v>1063</c:v>
                </c:pt>
                <c:pt idx="274">
                  <c:v>1084</c:v>
                </c:pt>
                <c:pt idx="275">
                  <c:v>1014</c:v>
                </c:pt>
                <c:pt idx="276">
                  <c:v>997</c:v>
                </c:pt>
                <c:pt idx="277">
                  <c:v>1097</c:v>
                </c:pt>
                <c:pt idx="278">
                  <c:v>1102</c:v>
                </c:pt>
                <c:pt idx="279">
                  <c:v>1018</c:v>
                </c:pt>
                <c:pt idx="280">
                  <c:v>1017</c:v>
                </c:pt>
                <c:pt idx="281">
                  <c:v>1069</c:v>
                </c:pt>
                <c:pt idx="282">
                  <c:v>1110</c:v>
                </c:pt>
                <c:pt idx="283">
                  <c:v>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6-4707-A21B-43584D152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51904"/>
        <c:axId val="945452736"/>
      </c:lineChart>
      <c:dateAx>
        <c:axId val="94545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52736"/>
        <c:crosses val="autoZero"/>
        <c:auto val="1"/>
        <c:lblOffset val="100"/>
        <c:baseTimeUnit val="months"/>
        <c:majorUnit val="5"/>
        <c:majorTimeUnit val="years"/>
      </c:dateAx>
      <c:valAx>
        <c:axId val="945452736"/>
        <c:scaling>
          <c:orientation val="minMax"/>
          <c:min val="6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Expenditure (thousands</a:t>
                </a:r>
                <a:r>
                  <a:rPr lang="en-CA" baseline="0"/>
                  <a:t> of dollars)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5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Consumption Expenditure</a:t>
            </a:r>
            <a:r>
              <a:rPr lang="en-CA" baseline="0"/>
              <a:t> from 1950 to 2020: Log Scale With Linear And Quadratic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Linear Trend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Data150!$L$2:$L$285</c:f>
              <c:numCache>
                <c:formatCode>0.000</c:formatCode>
                <c:ptCount val="284"/>
                <c:pt idx="0">
                  <c:v>6.5454919774277593</c:v>
                </c:pt>
                <c:pt idx="1">
                  <c:v>6.5469980061785344</c:v>
                </c:pt>
                <c:pt idx="2">
                  <c:v>6.5485040349293095</c:v>
                </c:pt>
                <c:pt idx="3">
                  <c:v>6.5500100636800864</c:v>
                </c:pt>
                <c:pt idx="4">
                  <c:v>6.5515160924308615</c:v>
                </c:pt>
                <c:pt idx="5">
                  <c:v>6.5530221211816366</c:v>
                </c:pt>
                <c:pt idx="6">
                  <c:v>6.5545281499324117</c:v>
                </c:pt>
                <c:pt idx="7">
                  <c:v>6.5560341786831868</c:v>
                </c:pt>
                <c:pt idx="8">
                  <c:v>6.5575402074339619</c:v>
                </c:pt>
                <c:pt idx="9">
                  <c:v>6.5590462361847388</c:v>
                </c:pt>
                <c:pt idx="10">
                  <c:v>6.5605522649355139</c:v>
                </c:pt>
                <c:pt idx="11">
                  <c:v>6.562058293686289</c:v>
                </c:pt>
                <c:pt idx="12">
                  <c:v>6.5635643224370641</c:v>
                </c:pt>
                <c:pt idx="13">
                  <c:v>6.5650703511878392</c:v>
                </c:pt>
                <c:pt idx="14">
                  <c:v>6.5665763799386143</c:v>
                </c:pt>
                <c:pt idx="15">
                  <c:v>6.5680824086893912</c:v>
                </c:pt>
                <c:pt idx="16">
                  <c:v>6.5695884374401663</c:v>
                </c:pt>
                <c:pt idx="17">
                  <c:v>6.5710944661909414</c:v>
                </c:pt>
                <c:pt idx="18">
                  <c:v>6.5726004949417165</c:v>
                </c:pt>
                <c:pt idx="19">
                  <c:v>6.5741065236924916</c:v>
                </c:pt>
                <c:pt idx="20">
                  <c:v>6.5756125524432667</c:v>
                </c:pt>
                <c:pt idx="21">
                  <c:v>6.5771185811940436</c:v>
                </c:pt>
                <c:pt idx="22">
                  <c:v>6.5786246099448187</c:v>
                </c:pt>
                <c:pt idx="23">
                  <c:v>6.5801306386955938</c:v>
                </c:pt>
                <c:pt idx="24">
                  <c:v>6.5816366674463689</c:v>
                </c:pt>
                <c:pt idx="25">
                  <c:v>6.583142696197144</c:v>
                </c:pt>
                <c:pt idx="26">
                  <c:v>6.5846487249479191</c:v>
                </c:pt>
                <c:pt idx="27">
                  <c:v>6.586154753698696</c:v>
                </c:pt>
                <c:pt idx="28">
                  <c:v>6.5876607824494711</c:v>
                </c:pt>
                <c:pt idx="29">
                  <c:v>6.5891668112002462</c:v>
                </c:pt>
                <c:pt idx="30">
                  <c:v>6.5906728399510213</c:v>
                </c:pt>
                <c:pt idx="31">
                  <c:v>6.5921788687017964</c:v>
                </c:pt>
                <c:pt idx="32">
                  <c:v>6.5936848974525715</c:v>
                </c:pt>
                <c:pt idx="33">
                  <c:v>6.5951909262033483</c:v>
                </c:pt>
                <c:pt idx="34">
                  <c:v>6.5966969549541234</c:v>
                </c:pt>
                <c:pt idx="35">
                  <c:v>6.5982029837048985</c:v>
                </c:pt>
                <c:pt idx="36">
                  <c:v>6.5997090124556737</c:v>
                </c:pt>
                <c:pt idx="37">
                  <c:v>6.6012150412064488</c:v>
                </c:pt>
                <c:pt idx="38">
                  <c:v>6.6027210699572239</c:v>
                </c:pt>
                <c:pt idx="39">
                  <c:v>6.6042270987080007</c:v>
                </c:pt>
                <c:pt idx="40">
                  <c:v>6.6057331274587758</c:v>
                </c:pt>
                <c:pt idx="41">
                  <c:v>6.6072391562095509</c:v>
                </c:pt>
                <c:pt idx="42">
                  <c:v>6.608745184960326</c:v>
                </c:pt>
                <c:pt idx="43">
                  <c:v>6.6102512137111011</c:v>
                </c:pt>
                <c:pt idx="44">
                  <c:v>6.6117572424618762</c:v>
                </c:pt>
                <c:pt idx="45">
                  <c:v>6.6132632712126531</c:v>
                </c:pt>
                <c:pt idx="46">
                  <c:v>6.6147692999634282</c:v>
                </c:pt>
                <c:pt idx="47">
                  <c:v>6.6162753287142033</c:v>
                </c:pt>
                <c:pt idx="48">
                  <c:v>6.6177813574649784</c:v>
                </c:pt>
                <c:pt idx="49">
                  <c:v>6.6192873862157535</c:v>
                </c:pt>
                <c:pt idx="50">
                  <c:v>6.6207934149665286</c:v>
                </c:pt>
                <c:pt idx="51">
                  <c:v>6.6222994437173055</c:v>
                </c:pt>
                <c:pt idx="52">
                  <c:v>6.6238054724680806</c:v>
                </c:pt>
                <c:pt idx="53">
                  <c:v>6.6253115012188557</c:v>
                </c:pt>
                <c:pt idx="54">
                  <c:v>6.6268175299696308</c:v>
                </c:pt>
                <c:pt idx="55">
                  <c:v>6.6283235587204059</c:v>
                </c:pt>
                <c:pt idx="56">
                  <c:v>6.629829587471181</c:v>
                </c:pt>
                <c:pt idx="57">
                  <c:v>6.6313356162219579</c:v>
                </c:pt>
                <c:pt idx="58">
                  <c:v>6.632841644972733</c:v>
                </c:pt>
                <c:pt idx="59">
                  <c:v>6.6343476737235081</c:v>
                </c:pt>
                <c:pt idx="60">
                  <c:v>6.6358537024742832</c:v>
                </c:pt>
                <c:pt idx="61">
                  <c:v>6.6373597312250583</c:v>
                </c:pt>
                <c:pt idx="62">
                  <c:v>6.6388657599758334</c:v>
                </c:pt>
                <c:pt idx="63">
                  <c:v>6.6403717887266103</c:v>
                </c:pt>
                <c:pt idx="64">
                  <c:v>6.6418778174773854</c:v>
                </c:pt>
                <c:pt idx="65">
                  <c:v>6.6433838462281605</c:v>
                </c:pt>
                <c:pt idx="66">
                  <c:v>6.6448898749789356</c:v>
                </c:pt>
                <c:pt idx="67">
                  <c:v>6.6463959037297107</c:v>
                </c:pt>
                <c:pt idx="68">
                  <c:v>6.6479019324804858</c:v>
                </c:pt>
                <c:pt idx="69">
                  <c:v>6.6494079612312627</c:v>
                </c:pt>
                <c:pt idx="70">
                  <c:v>6.6509139899820378</c:v>
                </c:pt>
                <c:pt idx="71">
                  <c:v>6.6524200187328129</c:v>
                </c:pt>
                <c:pt idx="72">
                  <c:v>6.653926047483588</c:v>
                </c:pt>
                <c:pt idx="73">
                  <c:v>6.6554320762343631</c:v>
                </c:pt>
                <c:pt idx="74">
                  <c:v>6.6569381049851382</c:v>
                </c:pt>
                <c:pt idx="75">
                  <c:v>6.658444133735915</c:v>
                </c:pt>
                <c:pt idx="76">
                  <c:v>6.6599501624866901</c:v>
                </c:pt>
                <c:pt idx="77">
                  <c:v>6.6614561912374652</c:v>
                </c:pt>
                <c:pt idx="78">
                  <c:v>6.6629622199882403</c:v>
                </c:pt>
                <c:pt idx="79">
                  <c:v>6.6644682487390154</c:v>
                </c:pt>
                <c:pt idx="80">
                  <c:v>6.6659742774897905</c:v>
                </c:pt>
                <c:pt idx="81">
                  <c:v>6.6674803062405674</c:v>
                </c:pt>
                <c:pt idx="82">
                  <c:v>6.6689863349913425</c:v>
                </c:pt>
                <c:pt idx="83">
                  <c:v>6.6704923637421176</c:v>
                </c:pt>
                <c:pt idx="84">
                  <c:v>6.6719983924928927</c:v>
                </c:pt>
                <c:pt idx="85">
                  <c:v>6.6735044212436678</c:v>
                </c:pt>
                <c:pt idx="86">
                  <c:v>6.6750104499944429</c:v>
                </c:pt>
                <c:pt idx="87">
                  <c:v>6.6765164787452198</c:v>
                </c:pt>
                <c:pt idx="88">
                  <c:v>6.6780225074959949</c:v>
                </c:pt>
                <c:pt idx="89">
                  <c:v>6.67952853624677</c:v>
                </c:pt>
                <c:pt idx="90">
                  <c:v>6.6810345649975451</c:v>
                </c:pt>
                <c:pt idx="91">
                  <c:v>6.6825405937483202</c:v>
                </c:pt>
                <c:pt idx="92">
                  <c:v>6.6840466224990971</c:v>
                </c:pt>
                <c:pt idx="93">
                  <c:v>6.6855526512498722</c:v>
                </c:pt>
                <c:pt idx="94">
                  <c:v>6.6870586800006473</c:v>
                </c:pt>
                <c:pt idx="95">
                  <c:v>6.6885647087514224</c:v>
                </c:pt>
                <c:pt idx="96">
                  <c:v>6.6900707375021975</c:v>
                </c:pt>
                <c:pt idx="97">
                  <c:v>6.6915767662529726</c:v>
                </c:pt>
                <c:pt idx="98">
                  <c:v>6.6930827950037495</c:v>
                </c:pt>
                <c:pt idx="99">
                  <c:v>6.6945888237545246</c:v>
                </c:pt>
                <c:pt idx="100">
                  <c:v>6.6960948525052997</c:v>
                </c:pt>
                <c:pt idx="101">
                  <c:v>6.6976008812560748</c:v>
                </c:pt>
                <c:pt idx="102">
                  <c:v>6.6991069100068499</c:v>
                </c:pt>
                <c:pt idx="103">
                  <c:v>6.700612938757625</c:v>
                </c:pt>
                <c:pt idx="104">
                  <c:v>6.7021189675084019</c:v>
                </c:pt>
                <c:pt idx="105">
                  <c:v>6.703624996259177</c:v>
                </c:pt>
                <c:pt idx="106">
                  <c:v>6.7051310250099521</c:v>
                </c:pt>
                <c:pt idx="107">
                  <c:v>6.7066370537607272</c:v>
                </c:pt>
                <c:pt idx="108">
                  <c:v>6.7081430825115023</c:v>
                </c:pt>
                <c:pt idx="109">
                  <c:v>6.7096491112622774</c:v>
                </c:pt>
                <c:pt idx="110">
                  <c:v>6.7111551400130542</c:v>
                </c:pt>
                <c:pt idx="111">
                  <c:v>6.7126611687638293</c:v>
                </c:pt>
                <c:pt idx="112">
                  <c:v>6.7141671975146044</c:v>
                </c:pt>
                <c:pt idx="113">
                  <c:v>6.7156732262653795</c:v>
                </c:pt>
                <c:pt idx="114">
                  <c:v>6.7171792550161546</c:v>
                </c:pt>
                <c:pt idx="115">
                  <c:v>6.7186852837669298</c:v>
                </c:pt>
                <c:pt idx="116">
                  <c:v>6.7201913125177066</c:v>
                </c:pt>
                <c:pt idx="117">
                  <c:v>6.7216973412684817</c:v>
                </c:pt>
                <c:pt idx="118">
                  <c:v>6.7232033700192568</c:v>
                </c:pt>
                <c:pt idx="119">
                  <c:v>6.7247093987700319</c:v>
                </c:pt>
                <c:pt idx="120">
                  <c:v>6.726215427520807</c:v>
                </c:pt>
                <c:pt idx="121">
                  <c:v>6.7277214562715821</c:v>
                </c:pt>
                <c:pt idx="122">
                  <c:v>6.729227485022359</c:v>
                </c:pt>
                <c:pt idx="123">
                  <c:v>6.7307335137731341</c:v>
                </c:pt>
                <c:pt idx="124">
                  <c:v>6.7322395425239092</c:v>
                </c:pt>
                <c:pt idx="125">
                  <c:v>6.7337455712746843</c:v>
                </c:pt>
                <c:pt idx="126">
                  <c:v>6.7352516000254594</c:v>
                </c:pt>
                <c:pt idx="127">
                  <c:v>6.7367576287762345</c:v>
                </c:pt>
                <c:pt idx="128">
                  <c:v>6.7382636575270114</c:v>
                </c:pt>
                <c:pt idx="129">
                  <c:v>6.7397696862777865</c:v>
                </c:pt>
                <c:pt idx="130">
                  <c:v>6.7412757150285616</c:v>
                </c:pt>
                <c:pt idx="131">
                  <c:v>6.7427817437793367</c:v>
                </c:pt>
                <c:pt idx="132">
                  <c:v>6.7442877725301118</c:v>
                </c:pt>
                <c:pt idx="133">
                  <c:v>6.7457938012808869</c:v>
                </c:pt>
                <c:pt idx="134">
                  <c:v>6.7472998300316638</c:v>
                </c:pt>
                <c:pt idx="135">
                  <c:v>6.7488058587824389</c:v>
                </c:pt>
                <c:pt idx="136">
                  <c:v>6.750311887533214</c:v>
                </c:pt>
                <c:pt idx="137">
                  <c:v>6.7518179162839891</c:v>
                </c:pt>
                <c:pt idx="138">
                  <c:v>6.7533239450347642</c:v>
                </c:pt>
                <c:pt idx="139">
                  <c:v>6.7548299737855393</c:v>
                </c:pt>
                <c:pt idx="140">
                  <c:v>6.7563360025363162</c:v>
                </c:pt>
                <c:pt idx="141">
                  <c:v>6.7578420312870913</c:v>
                </c:pt>
                <c:pt idx="142">
                  <c:v>6.7593480600378664</c:v>
                </c:pt>
                <c:pt idx="143">
                  <c:v>6.7608540887886415</c:v>
                </c:pt>
                <c:pt idx="144">
                  <c:v>6.7623601175394166</c:v>
                </c:pt>
                <c:pt idx="145">
                  <c:v>6.7638661462901917</c:v>
                </c:pt>
                <c:pt idx="146">
                  <c:v>6.7653721750409685</c:v>
                </c:pt>
                <c:pt idx="147">
                  <c:v>6.7668782037917437</c:v>
                </c:pt>
                <c:pt idx="148">
                  <c:v>6.7683842325425188</c:v>
                </c:pt>
                <c:pt idx="149">
                  <c:v>6.7698902612932939</c:v>
                </c:pt>
                <c:pt idx="150">
                  <c:v>6.771396290044069</c:v>
                </c:pt>
                <c:pt idx="151">
                  <c:v>6.7729023187948441</c:v>
                </c:pt>
                <c:pt idx="152">
                  <c:v>6.7744083475456209</c:v>
                </c:pt>
                <c:pt idx="153">
                  <c:v>6.775914376296396</c:v>
                </c:pt>
                <c:pt idx="154">
                  <c:v>6.7774204050471711</c:v>
                </c:pt>
                <c:pt idx="155">
                  <c:v>6.7789264337979462</c:v>
                </c:pt>
                <c:pt idx="156">
                  <c:v>6.7804324625487213</c:v>
                </c:pt>
                <c:pt idx="157">
                  <c:v>6.7819384912994964</c:v>
                </c:pt>
                <c:pt idx="158">
                  <c:v>6.7834445200502733</c:v>
                </c:pt>
                <c:pt idx="159">
                  <c:v>6.7849505488010484</c:v>
                </c:pt>
                <c:pt idx="160">
                  <c:v>6.7864565775518235</c:v>
                </c:pt>
                <c:pt idx="161">
                  <c:v>6.7879626063025986</c:v>
                </c:pt>
                <c:pt idx="162">
                  <c:v>6.7894686350533737</c:v>
                </c:pt>
                <c:pt idx="163">
                  <c:v>6.7909746638041488</c:v>
                </c:pt>
                <c:pt idx="164">
                  <c:v>6.7924806925549257</c:v>
                </c:pt>
                <c:pt idx="165">
                  <c:v>6.7939867213057008</c:v>
                </c:pt>
                <c:pt idx="166">
                  <c:v>6.7954927500564759</c:v>
                </c:pt>
                <c:pt idx="167">
                  <c:v>6.796998778807251</c:v>
                </c:pt>
                <c:pt idx="168">
                  <c:v>6.7985048075580261</c:v>
                </c:pt>
                <c:pt idx="169">
                  <c:v>6.8000108363088012</c:v>
                </c:pt>
                <c:pt idx="170">
                  <c:v>6.8015168650595781</c:v>
                </c:pt>
                <c:pt idx="171">
                  <c:v>6.8030228938103532</c:v>
                </c:pt>
                <c:pt idx="172">
                  <c:v>6.8045289225611283</c:v>
                </c:pt>
                <c:pt idx="173">
                  <c:v>6.8060349513119034</c:v>
                </c:pt>
                <c:pt idx="174">
                  <c:v>6.8075409800626785</c:v>
                </c:pt>
                <c:pt idx="175">
                  <c:v>6.8090470088134554</c:v>
                </c:pt>
                <c:pt idx="176">
                  <c:v>6.8105530375642305</c:v>
                </c:pt>
                <c:pt idx="177">
                  <c:v>6.8120590663150056</c:v>
                </c:pt>
                <c:pt idx="178">
                  <c:v>6.8135650950657807</c:v>
                </c:pt>
                <c:pt idx="179">
                  <c:v>6.8150711238165558</c:v>
                </c:pt>
                <c:pt idx="180">
                  <c:v>6.8165771525673309</c:v>
                </c:pt>
                <c:pt idx="181">
                  <c:v>6.8180831813181078</c:v>
                </c:pt>
                <c:pt idx="182">
                  <c:v>6.8195892100688829</c:v>
                </c:pt>
                <c:pt idx="183">
                  <c:v>6.821095238819658</c:v>
                </c:pt>
                <c:pt idx="184">
                  <c:v>6.8226012675704331</c:v>
                </c:pt>
                <c:pt idx="185">
                  <c:v>6.8241072963212082</c:v>
                </c:pt>
                <c:pt idx="186">
                  <c:v>6.8256133250719833</c:v>
                </c:pt>
                <c:pt idx="187">
                  <c:v>6.8271193538227601</c:v>
                </c:pt>
                <c:pt idx="188">
                  <c:v>6.8286253825735352</c:v>
                </c:pt>
                <c:pt idx="189">
                  <c:v>6.8301314113243103</c:v>
                </c:pt>
                <c:pt idx="190">
                  <c:v>6.8316374400750854</c:v>
                </c:pt>
                <c:pt idx="191">
                  <c:v>6.8331434688258605</c:v>
                </c:pt>
                <c:pt idx="192">
                  <c:v>6.8346494975766356</c:v>
                </c:pt>
                <c:pt idx="193">
                  <c:v>6.8361555263274125</c:v>
                </c:pt>
                <c:pt idx="194">
                  <c:v>6.8376615550781876</c:v>
                </c:pt>
                <c:pt idx="195">
                  <c:v>6.8391675838289627</c:v>
                </c:pt>
                <c:pt idx="196">
                  <c:v>6.8406736125797378</c:v>
                </c:pt>
                <c:pt idx="197">
                  <c:v>6.8421796413305129</c:v>
                </c:pt>
                <c:pt idx="198">
                  <c:v>6.843685670081288</c:v>
                </c:pt>
                <c:pt idx="199">
                  <c:v>6.8451916988320649</c:v>
                </c:pt>
                <c:pt idx="200">
                  <c:v>6.84669772758284</c:v>
                </c:pt>
                <c:pt idx="201">
                  <c:v>6.8482037563336151</c:v>
                </c:pt>
                <c:pt idx="202">
                  <c:v>6.8497097850843902</c:v>
                </c:pt>
                <c:pt idx="203">
                  <c:v>6.8512158138351653</c:v>
                </c:pt>
                <c:pt idx="204">
                  <c:v>6.8527218425859404</c:v>
                </c:pt>
                <c:pt idx="205">
                  <c:v>6.8542278713367173</c:v>
                </c:pt>
                <c:pt idx="206">
                  <c:v>6.8557339000874924</c:v>
                </c:pt>
                <c:pt idx="207">
                  <c:v>6.8572399288382675</c:v>
                </c:pt>
                <c:pt idx="208">
                  <c:v>6.8587459575890426</c:v>
                </c:pt>
                <c:pt idx="209">
                  <c:v>6.8602519863398177</c:v>
                </c:pt>
                <c:pt idx="210">
                  <c:v>6.8617580150905928</c:v>
                </c:pt>
                <c:pt idx="211">
                  <c:v>6.8632640438413697</c:v>
                </c:pt>
                <c:pt idx="212">
                  <c:v>6.8647700725921448</c:v>
                </c:pt>
                <c:pt idx="213">
                  <c:v>6.8662761013429199</c:v>
                </c:pt>
                <c:pt idx="214">
                  <c:v>6.867782130093695</c:v>
                </c:pt>
                <c:pt idx="215">
                  <c:v>6.8692881588444701</c:v>
                </c:pt>
                <c:pt idx="216">
                  <c:v>6.8707941875952452</c:v>
                </c:pt>
                <c:pt idx="217">
                  <c:v>6.8723002163460221</c:v>
                </c:pt>
                <c:pt idx="218">
                  <c:v>6.8738062450967972</c:v>
                </c:pt>
                <c:pt idx="219">
                  <c:v>6.8753122738475723</c:v>
                </c:pt>
                <c:pt idx="220">
                  <c:v>6.8768183025983474</c:v>
                </c:pt>
                <c:pt idx="221">
                  <c:v>6.8783243313491225</c:v>
                </c:pt>
                <c:pt idx="222">
                  <c:v>6.8798303600998976</c:v>
                </c:pt>
                <c:pt idx="223">
                  <c:v>6.8813363888506744</c:v>
                </c:pt>
                <c:pt idx="224">
                  <c:v>6.8828424176014495</c:v>
                </c:pt>
                <c:pt idx="225">
                  <c:v>6.8843484463522246</c:v>
                </c:pt>
                <c:pt idx="226">
                  <c:v>6.8858544751029997</c:v>
                </c:pt>
                <c:pt idx="227">
                  <c:v>6.8873605038537749</c:v>
                </c:pt>
                <c:pt idx="228">
                  <c:v>6.88886653260455</c:v>
                </c:pt>
                <c:pt idx="229">
                  <c:v>6.8903725613553268</c:v>
                </c:pt>
                <c:pt idx="230">
                  <c:v>6.8918785901061019</c:v>
                </c:pt>
                <c:pt idx="231">
                  <c:v>6.893384618856877</c:v>
                </c:pt>
                <c:pt idx="232">
                  <c:v>6.8948906476076521</c:v>
                </c:pt>
                <c:pt idx="233">
                  <c:v>6.8963966763584272</c:v>
                </c:pt>
                <c:pt idx="234">
                  <c:v>6.8979027051092023</c:v>
                </c:pt>
                <c:pt idx="235">
                  <c:v>6.8994087338599792</c:v>
                </c:pt>
                <c:pt idx="236">
                  <c:v>6.9009147626107543</c:v>
                </c:pt>
                <c:pt idx="237">
                  <c:v>6.9024207913615294</c:v>
                </c:pt>
                <c:pt idx="238">
                  <c:v>6.9039268201123045</c:v>
                </c:pt>
                <c:pt idx="239">
                  <c:v>6.9054328488630796</c:v>
                </c:pt>
                <c:pt idx="240">
                  <c:v>6.9069388776138547</c:v>
                </c:pt>
                <c:pt idx="241">
                  <c:v>6.9084449063646316</c:v>
                </c:pt>
                <c:pt idx="242">
                  <c:v>6.9099509351154067</c:v>
                </c:pt>
                <c:pt idx="243">
                  <c:v>6.9114569638661818</c:v>
                </c:pt>
                <c:pt idx="244">
                  <c:v>6.9129629926169569</c:v>
                </c:pt>
                <c:pt idx="245">
                  <c:v>6.914469021367732</c:v>
                </c:pt>
                <c:pt idx="246">
                  <c:v>6.9159750501185071</c:v>
                </c:pt>
                <c:pt idx="247">
                  <c:v>6.917481078869284</c:v>
                </c:pt>
                <c:pt idx="248">
                  <c:v>6.9189871076200591</c:v>
                </c:pt>
                <c:pt idx="249">
                  <c:v>6.9204931363708342</c:v>
                </c:pt>
                <c:pt idx="250">
                  <c:v>6.9219991651216093</c:v>
                </c:pt>
                <c:pt idx="251">
                  <c:v>6.9235051938723844</c:v>
                </c:pt>
                <c:pt idx="252">
                  <c:v>6.9250112226231595</c:v>
                </c:pt>
                <c:pt idx="253">
                  <c:v>6.9265172513739364</c:v>
                </c:pt>
                <c:pt idx="254">
                  <c:v>6.9280232801247115</c:v>
                </c:pt>
                <c:pt idx="255">
                  <c:v>6.9295293088754866</c:v>
                </c:pt>
                <c:pt idx="256">
                  <c:v>6.9310353376262617</c:v>
                </c:pt>
                <c:pt idx="257">
                  <c:v>6.9325413663770368</c:v>
                </c:pt>
                <c:pt idx="258">
                  <c:v>6.9340473951278119</c:v>
                </c:pt>
                <c:pt idx="259">
                  <c:v>6.9355534238785888</c:v>
                </c:pt>
                <c:pt idx="260">
                  <c:v>6.9370594526293639</c:v>
                </c:pt>
                <c:pt idx="261">
                  <c:v>6.938565481380139</c:v>
                </c:pt>
                <c:pt idx="262">
                  <c:v>6.9400715101309141</c:v>
                </c:pt>
                <c:pt idx="263">
                  <c:v>6.9415775388816892</c:v>
                </c:pt>
                <c:pt idx="264">
                  <c:v>6.943083567632466</c:v>
                </c:pt>
                <c:pt idx="265">
                  <c:v>6.9445895963832411</c:v>
                </c:pt>
                <c:pt idx="266">
                  <c:v>6.9460956251340162</c:v>
                </c:pt>
                <c:pt idx="267">
                  <c:v>6.9476016538847913</c:v>
                </c:pt>
                <c:pt idx="268">
                  <c:v>6.9491076826355664</c:v>
                </c:pt>
                <c:pt idx="269">
                  <c:v>6.9506137113863415</c:v>
                </c:pt>
                <c:pt idx="270">
                  <c:v>6.9521197401371184</c:v>
                </c:pt>
                <c:pt idx="271">
                  <c:v>6.9536257688878935</c:v>
                </c:pt>
                <c:pt idx="272">
                  <c:v>6.9551317976386686</c:v>
                </c:pt>
                <c:pt idx="273">
                  <c:v>6.9566378263894437</c:v>
                </c:pt>
                <c:pt idx="274">
                  <c:v>6.9581438551402188</c:v>
                </c:pt>
                <c:pt idx="275">
                  <c:v>6.9596498838909939</c:v>
                </c:pt>
                <c:pt idx="276">
                  <c:v>6.9611559126417708</c:v>
                </c:pt>
                <c:pt idx="277">
                  <c:v>6.9626619413925459</c:v>
                </c:pt>
                <c:pt idx="278">
                  <c:v>6.964167970143321</c:v>
                </c:pt>
                <c:pt idx="279">
                  <c:v>6.9656739988940961</c:v>
                </c:pt>
                <c:pt idx="280">
                  <c:v>6.9671800276448712</c:v>
                </c:pt>
                <c:pt idx="281">
                  <c:v>6.9686860563956463</c:v>
                </c:pt>
                <c:pt idx="282">
                  <c:v>6.9701920851464232</c:v>
                </c:pt>
                <c:pt idx="283">
                  <c:v>6.9716981138971983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A-482C-B6A6-95B70F2FA95A}"/>
            </c:ext>
          </c:extLst>
        </c:ser>
        <c:ser>
          <c:idx val="1"/>
          <c:order val="1"/>
          <c:tx>
            <c:v>Quadratic Trend</c:v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Data150!$M$2:$M$285</c:f>
              <c:numCache>
                <c:formatCode>0.000</c:formatCode>
                <c:ptCount val="284"/>
                <c:pt idx="0">
                  <c:v>6.550661803213309</c:v>
                </c:pt>
                <c:pt idx="1">
                  <c:v>6.5520582243502545</c:v>
                </c:pt>
                <c:pt idx="2">
                  <c:v>6.553455422846163</c:v>
                </c:pt>
                <c:pt idx="3">
                  <c:v>6.554853398701038</c:v>
                </c:pt>
                <c:pt idx="4">
                  <c:v>6.5562521519148795</c:v>
                </c:pt>
                <c:pt idx="5">
                  <c:v>6.5576516824876769</c:v>
                </c:pt>
                <c:pt idx="6">
                  <c:v>6.5590519904194409</c:v>
                </c:pt>
                <c:pt idx="7">
                  <c:v>6.5604530757101713</c:v>
                </c:pt>
                <c:pt idx="8">
                  <c:v>6.5618549383598612</c:v>
                </c:pt>
                <c:pt idx="9">
                  <c:v>6.5632575783685141</c:v>
                </c:pt>
                <c:pt idx="10">
                  <c:v>6.5646609957361335</c:v>
                </c:pt>
                <c:pt idx="11">
                  <c:v>6.5660651904627123</c:v>
                </c:pt>
                <c:pt idx="12">
                  <c:v>6.5674701625482541</c:v>
                </c:pt>
                <c:pt idx="13">
                  <c:v>6.5688759119927624</c:v>
                </c:pt>
                <c:pt idx="14">
                  <c:v>6.5702824387962373</c:v>
                </c:pt>
                <c:pt idx="15">
                  <c:v>6.571689742958668</c:v>
                </c:pt>
                <c:pt idx="16">
                  <c:v>6.5730978244800653</c:v>
                </c:pt>
                <c:pt idx="17">
                  <c:v>6.5745066833604291</c:v>
                </c:pt>
                <c:pt idx="18">
                  <c:v>6.5759163195997523</c:v>
                </c:pt>
                <c:pt idx="19">
                  <c:v>6.577326733198035</c:v>
                </c:pt>
                <c:pt idx="20">
                  <c:v>6.5787379241552912</c:v>
                </c:pt>
                <c:pt idx="21">
                  <c:v>6.5801498924715034</c:v>
                </c:pt>
                <c:pt idx="22">
                  <c:v>6.5815626381466785</c:v>
                </c:pt>
                <c:pt idx="23">
                  <c:v>6.5829761611808166</c:v>
                </c:pt>
                <c:pt idx="24">
                  <c:v>6.5843904615739248</c:v>
                </c:pt>
                <c:pt idx="25">
                  <c:v>6.5858055393259924</c:v>
                </c:pt>
                <c:pt idx="26">
                  <c:v>6.5872213944370195</c:v>
                </c:pt>
                <c:pt idx="27">
                  <c:v>6.5886380269070202</c:v>
                </c:pt>
                <c:pt idx="28">
                  <c:v>6.5900554367359732</c:v>
                </c:pt>
                <c:pt idx="29">
                  <c:v>6.5914736239238927</c:v>
                </c:pt>
                <c:pt idx="30">
                  <c:v>6.5928925884707823</c:v>
                </c:pt>
                <c:pt idx="31">
                  <c:v>6.5943123303766242</c:v>
                </c:pt>
                <c:pt idx="32">
                  <c:v>6.5957328496414327</c:v>
                </c:pt>
                <c:pt idx="33">
                  <c:v>6.5971541462652112</c:v>
                </c:pt>
                <c:pt idx="34">
                  <c:v>6.5985762202479492</c:v>
                </c:pt>
                <c:pt idx="35">
                  <c:v>6.5999990715896466</c:v>
                </c:pt>
                <c:pt idx="36">
                  <c:v>6.601422700290307</c:v>
                </c:pt>
                <c:pt idx="37">
                  <c:v>6.602847106349941</c:v>
                </c:pt>
                <c:pt idx="38">
                  <c:v>6.6042722897685273</c:v>
                </c:pt>
                <c:pt idx="39">
                  <c:v>6.6056982505460802</c:v>
                </c:pt>
                <c:pt idx="40">
                  <c:v>6.6071249886826031</c:v>
                </c:pt>
                <c:pt idx="41">
                  <c:v>6.6085525041780784</c:v>
                </c:pt>
                <c:pt idx="42">
                  <c:v>6.6099807970325202</c:v>
                </c:pt>
                <c:pt idx="43">
                  <c:v>6.611409867245932</c:v>
                </c:pt>
                <c:pt idx="44">
                  <c:v>6.6128397148182998</c:v>
                </c:pt>
                <c:pt idx="45">
                  <c:v>6.6142703397496341</c:v>
                </c:pt>
                <c:pt idx="46">
                  <c:v>6.6157017420399278</c:v>
                </c:pt>
                <c:pt idx="47">
                  <c:v>6.6171339216891916</c:v>
                </c:pt>
                <c:pt idx="48">
                  <c:v>6.6185668786974148</c:v>
                </c:pt>
                <c:pt idx="49">
                  <c:v>6.6200006130645974</c:v>
                </c:pt>
                <c:pt idx="50">
                  <c:v>6.6214351247907537</c:v>
                </c:pt>
                <c:pt idx="51">
                  <c:v>6.6228704138758658</c:v>
                </c:pt>
                <c:pt idx="52">
                  <c:v>6.624306480319941</c:v>
                </c:pt>
                <c:pt idx="53">
                  <c:v>6.6257433241229862</c:v>
                </c:pt>
                <c:pt idx="54">
                  <c:v>6.6271809452849872</c:v>
                </c:pt>
                <c:pt idx="55">
                  <c:v>6.6286193438059513</c:v>
                </c:pt>
                <c:pt idx="56">
                  <c:v>6.6300585196858854</c:v>
                </c:pt>
                <c:pt idx="57">
                  <c:v>6.6314984729247755</c:v>
                </c:pt>
                <c:pt idx="58">
                  <c:v>6.632939203522632</c:v>
                </c:pt>
                <c:pt idx="59">
                  <c:v>6.634380711479448</c:v>
                </c:pt>
                <c:pt idx="60">
                  <c:v>6.6358229967952376</c:v>
                </c:pt>
                <c:pt idx="61">
                  <c:v>6.637266059469983</c:v>
                </c:pt>
                <c:pt idx="62">
                  <c:v>6.6387098995036915</c:v>
                </c:pt>
                <c:pt idx="63">
                  <c:v>6.64015451689637</c:v>
                </c:pt>
                <c:pt idx="64">
                  <c:v>6.6415999116480045</c:v>
                </c:pt>
                <c:pt idx="65">
                  <c:v>6.6430460837586018</c:v>
                </c:pt>
                <c:pt idx="66">
                  <c:v>6.6444930332281693</c:v>
                </c:pt>
                <c:pt idx="67">
                  <c:v>6.6459407600566927</c:v>
                </c:pt>
                <c:pt idx="68">
                  <c:v>6.6473892642441825</c:v>
                </c:pt>
                <c:pt idx="69">
                  <c:v>6.6488385457906318</c:v>
                </c:pt>
                <c:pt idx="70">
                  <c:v>6.6502886046960548</c:v>
                </c:pt>
                <c:pt idx="71">
                  <c:v>6.65173944096043</c:v>
                </c:pt>
                <c:pt idx="72">
                  <c:v>6.6531910545837718</c:v>
                </c:pt>
                <c:pt idx="73">
                  <c:v>6.6546434455660837</c:v>
                </c:pt>
                <c:pt idx="74">
                  <c:v>6.6560966139073514</c:v>
                </c:pt>
                <c:pt idx="75">
                  <c:v>6.6575505596075821</c:v>
                </c:pt>
                <c:pt idx="76">
                  <c:v>6.6590052826667829</c:v>
                </c:pt>
                <c:pt idx="77">
                  <c:v>6.6604607830849396</c:v>
                </c:pt>
                <c:pt idx="78">
                  <c:v>6.6619170608620628</c:v>
                </c:pt>
                <c:pt idx="79">
                  <c:v>6.6633741159981525</c:v>
                </c:pt>
                <c:pt idx="80">
                  <c:v>6.6648319484932017</c:v>
                </c:pt>
                <c:pt idx="81">
                  <c:v>6.6662905583472103</c:v>
                </c:pt>
                <c:pt idx="82">
                  <c:v>6.6677499455601854</c:v>
                </c:pt>
                <c:pt idx="83">
                  <c:v>6.6692101101321306</c:v>
                </c:pt>
                <c:pt idx="84">
                  <c:v>6.6706710520630317</c:v>
                </c:pt>
                <c:pt idx="85">
                  <c:v>6.6721327713528957</c:v>
                </c:pt>
                <c:pt idx="86">
                  <c:v>6.6735952680017299</c:v>
                </c:pt>
                <c:pt idx="87">
                  <c:v>6.6750585420095199</c:v>
                </c:pt>
                <c:pt idx="88">
                  <c:v>6.6765225933762764</c:v>
                </c:pt>
                <c:pt idx="89">
                  <c:v>6.6779874221019995</c:v>
                </c:pt>
                <c:pt idx="90">
                  <c:v>6.679453028186682</c:v>
                </c:pt>
                <c:pt idx="91">
                  <c:v>6.6809194116303239</c:v>
                </c:pt>
                <c:pt idx="92">
                  <c:v>6.6823865724329323</c:v>
                </c:pt>
                <c:pt idx="93">
                  <c:v>6.6838545105945109</c:v>
                </c:pt>
                <c:pt idx="94">
                  <c:v>6.6853232261150453</c:v>
                </c:pt>
                <c:pt idx="95">
                  <c:v>6.6867927189945391</c:v>
                </c:pt>
                <c:pt idx="96">
                  <c:v>6.6882629892330101</c:v>
                </c:pt>
                <c:pt idx="97">
                  <c:v>6.6897340368304334</c:v>
                </c:pt>
                <c:pt idx="98">
                  <c:v>6.6912058617868198</c:v>
                </c:pt>
                <c:pt idx="99">
                  <c:v>6.6926784641021762</c:v>
                </c:pt>
                <c:pt idx="100">
                  <c:v>6.694151843776492</c:v>
                </c:pt>
                <c:pt idx="101">
                  <c:v>6.6956260008097672</c:v>
                </c:pt>
                <c:pt idx="102">
                  <c:v>6.6971009352020161</c:v>
                </c:pt>
                <c:pt idx="103">
                  <c:v>6.6985766469532209</c:v>
                </c:pt>
                <c:pt idx="104">
                  <c:v>6.7000531360633886</c:v>
                </c:pt>
                <c:pt idx="105">
                  <c:v>6.7015304025325193</c:v>
                </c:pt>
                <c:pt idx="106">
                  <c:v>6.7030084463606201</c:v>
                </c:pt>
                <c:pt idx="107">
                  <c:v>6.7044872675476768</c:v>
                </c:pt>
                <c:pt idx="108">
                  <c:v>6.7059668660936964</c:v>
                </c:pt>
                <c:pt idx="109">
                  <c:v>6.7074472419986861</c:v>
                </c:pt>
                <c:pt idx="110">
                  <c:v>6.7089283952626353</c:v>
                </c:pt>
                <c:pt idx="111">
                  <c:v>6.7104103258855439</c:v>
                </c:pt>
                <c:pt idx="112">
                  <c:v>6.7118930338674261</c:v>
                </c:pt>
                <c:pt idx="113">
                  <c:v>6.7133765192082642</c:v>
                </c:pt>
                <c:pt idx="114">
                  <c:v>6.7148607819080617</c:v>
                </c:pt>
                <c:pt idx="115">
                  <c:v>6.7163458219668257</c:v>
                </c:pt>
                <c:pt idx="116">
                  <c:v>6.7178316393845598</c:v>
                </c:pt>
                <c:pt idx="117">
                  <c:v>6.7193182341612498</c:v>
                </c:pt>
                <c:pt idx="118">
                  <c:v>6.7208056062969028</c:v>
                </c:pt>
                <c:pt idx="119">
                  <c:v>6.7222937557915294</c:v>
                </c:pt>
                <c:pt idx="120">
                  <c:v>6.7237826826451084</c:v>
                </c:pt>
                <c:pt idx="121">
                  <c:v>6.7252723868576538</c:v>
                </c:pt>
                <c:pt idx="122">
                  <c:v>6.7267628684291658</c:v>
                </c:pt>
                <c:pt idx="123">
                  <c:v>6.7282541273596372</c:v>
                </c:pt>
                <c:pt idx="124">
                  <c:v>6.7297461636490716</c:v>
                </c:pt>
                <c:pt idx="125">
                  <c:v>6.7312389772974655</c:v>
                </c:pt>
                <c:pt idx="126">
                  <c:v>6.7327325683048329</c:v>
                </c:pt>
                <c:pt idx="127">
                  <c:v>6.7342269366711562</c:v>
                </c:pt>
                <c:pt idx="128">
                  <c:v>6.7357220823964461</c:v>
                </c:pt>
                <c:pt idx="129">
                  <c:v>6.7372180054807025</c:v>
                </c:pt>
                <c:pt idx="130">
                  <c:v>6.7387147059239147</c:v>
                </c:pt>
                <c:pt idx="131">
                  <c:v>6.7402121837260935</c:v>
                </c:pt>
                <c:pt idx="132">
                  <c:v>6.7417104388872389</c:v>
                </c:pt>
                <c:pt idx="133">
                  <c:v>6.7432094714073436</c:v>
                </c:pt>
                <c:pt idx="134">
                  <c:v>6.7447092812864078</c:v>
                </c:pt>
                <c:pt idx="135">
                  <c:v>6.7462098685244456</c:v>
                </c:pt>
                <c:pt idx="136">
                  <c:v>6.7477112331214393</c:v>
                </c:pt>
                <c:pt idx="137">
                  <c:v>6.7492133750773959</c:v>
                </c:pt>
                <c:pt idx="138">
                  <c:v>6.7507162943923156</c:v>
                </c:pt>
                <c:pt idx="139">
                  <c:v>6.7522199910662053</c:v>
                </c:pt>
                <c:pt idx="140">
                  <c:v>6.7537244650990544</c:v>
                </c:pt>
                <c:pt idx="141">
                  <c:v>6.755229716490863</c:v>
                </c:pt>
                <c:pt idx="142">
                  <c:v>6.7567357452416417</c:v>
                </c:pt>
                <c:pt idx="143">
                  <c:v>6.7582425513513797</c:v>
                </c:pt>
                <c:pt idx="144">
                  <c:v>6.7597501348200808</c:v>
                </c:pt>
                <c:pt idx="145">
                  <c:v>6.7612584956477484</c:v>
                </c:pt>
                <c:pt idx="146">
                  <c:v>6.7627676338343754</c:v>
                </c:pt>
                <c:pt idx="147">
                  <c:v>6.7642775493799654</c:v>
                </c:pt>
                <c:pt idx="148">
                  <c:v>6.7657882422845184</c:v>
                </c:pt>
                <c:pt idx="149">
                  <c:v>6.7672997125480414</c:v>
                </c:pt>
                <c:pt idx="150">
                  <c:v>6.7688119601705239</c:v>
                </c:pt>
                <c:pt idx="151">
                  <c:v>6.7703249851519658</c:v>
                </c:pt>
                <c:pt idx="152">
                  <c:v>6.7718387874923778</c:v>
                </c:pt>
                <c:pt idx="153">
                  <c:v>6.7733533671917492</c:v>
                </c:pt>
                <c:pt idx="154">
                  <c:v>6.7748687242500836</c:v>
                </c:pt>
                <c:pt idx="155">
                  <c:v>6.7763848586673845</c:v>
                </c:pt>
                <c:pt idx="156">
                  <c:v>6.7779017704436448</c:v>
                </c:pt>
                <c:pt idx="157">
                  <c:v>6.7794194595788682</c:v>
                </c:pt>
                <c:pt idx="158">
                  <c:v>6.7809379260730616</c:v>
                </c:pt>
                <c:pt idx="159">
                  <c:v>6.7824571699262108</c:v>
                </c:pt>
                <c:pt idx="160">
                  <c:v>6.7839771911383231</c:v>
                </c:pt>
                <c:pt idx="161">
                  <c:v>6.7854979897094019</c:v>
                </c:pt>
                <c:pt idx="162">
                  <c:v>6.7870195656394472</c:v>
                </c:pt>
                <c:pt idx="163">
                  <c:v>6.7885419189284519</c:v>
                </c:pt>
                <c:pt idx="164">
                  <c:v>6.7900650495764161</c:v>
                </c:pt>
                <c:pt idx="165">
                  <c:v>6.7915889575833539</c:v>
                </c:pt>
                <c:pt idx="166">
                  <c:v>6.7931136429492476</c:v>
                </c:pt>
                <c:pt idx="167">
                  <c:v>6.7946391056741007</c:v>
                </c:pt>
                <c:pt idx="168">
                  <c:v>6.7961653457579274</c:v>
                </c:pt>
                <c:pt idx="169">
                  <c:v>6.79769236320071</c:v>
                </c:pt>
                <c:pt idx="170">
                  <c:v>6.7992201580024592</c:v>
                </c:pt>
                <c:pt idx="171">
                  <c:v>6.8007487301631677</c:v>
                </c:pt>
                <c:pt idx="172">
                  <c:v>6.8022780796828464</c:v>
                </c:pt>
                <c:pt idx="173">
                  <c:v>6.8038082065614844</c:v>
                </c:pt>
                <c:pt idx="174">
                  <c:v>6.8053391107990819</c:v>
                </c:pt>
                <c:pt idx="175">
                  <c:v>6.8068707923956531</c:v>
                </c:pt>
                <c:pt idx="176">
                  <c:v>6.8084032513511801</c:v>
                </c:pt>
                <c:pt idx="177">
                  <c:v>6.8099364876656665</c:v>
                </c:pt>
                <c:pt idx="178">
                  <c:v>6.8114705013391266</c:v>
                </c:pt>
                <c:pt idx="179">
                  <c:v>6.8130052923715425</c:v>
                </c:pt>
                <c:pt idx="180">
                  <c:v>6.8145408607629214</c:v>
                </c:pt>
                <c:pt idx="181">
                  <c:v>6.816077206513274</c:v>
                </c:pt>
                <c:pt idx="182">
                  <c:v>6.8176143296225789</c:v>
                </c:pt>
                <c:pt idx="183">
                  <c:v>6.8191522300908467</c:v>
                </c:pt>
                <c:pt idx="184">
                  <c:v>6.8206909079180811</c:v>
                </c:pt>
                <c:pt idx="185">
                  <c:v>6.822230363104282</c:v>
                </c:pt>
                <c:pt idx="186">
                  <c:v>6.8237705956494423</c:v>
                </c:pt>
                <c:pt idx="187">
                  <c:v>6.8253116055535656</c:v>
                </c:pt>
                <c:pt idx="188">
                  <c:v>6.826853392816659</c:v>
                </c:pt>
                <c:pt idx="189">
                  <c:v>6.8283959574387083</c:v>
                </c:pt>
                <c:pt idx="190">
                  <c:v>6.8299392994197206</c:v>
                </c:pt>
                <c:pt idx="191">
                  <c:v>6.8314834187597029</c:v>
                </c:pt>
                <c:pt idx="192">
                  <c:v>6.8330283154586411</c:v>
                </c:pt>
                <c:pt idx="193">
                  <c:v>6.8345739895165458</c:v>
                </c:pt>
                <c:pt idx="194">
                  <c:v>6.83612044093341</c:v>
                </c:pt>
                <c:pt idx="195">
                  <c:v>6.8376676697092478</c:v>
                </c:pt>
                <c:pt idx="196">
                  <c:v>6.8392156758440379</c:v>
                </c:pt>
                <c:pt idx="197">
                  <c:v>6.8407644593377945</c:v>
                </c:pt>
                <c:pt idx="198">
                  <c:v>6.8423140201905213</c:v>
                </c:pt>
                <c:pt idx="199">
                  <c:v>6.8438643584022039</c:v>
                </c:pt>
                <c:pt idx="200">
                  <c:v>6.8454154739728494</c:v>
                </c:pt>
                <c:pt idx="201">
                  <c:v>6.8469673669024651</c:v>
                </c:pt>
                <c:pt idx="202">
                  <c:v>6.8485200371910366</c:v>
                </c:pt>
                <c:pt idx="203">
                  <c:v>6.8500734848385711</c:v>
                </c:pt>
                <c:pt idx="204">
                  <c:v>6.8516277098450793</c:v>
                </c:pt>
                <c:pt idx="205">
                  <c:v>6.8531827122105398</c:v>
                </c:pt>
                <c:pt idx="206">
                  <c:v>6.8547384919349668</c:v>
                </c:pt>
                <c:pt idx="207">
                  <c:v>6.8562950490183567</c:v>
                </c:pt>
                <c:pt idx="208">
                  <c:v>6.8578523834607132</c:v>
                </c:pt>
                <c:pt idx="209">
                  <c:v>6.8594104952620292</c:v>
                </c:pt>
                <c:pt idx="210">
                  <c:v>6.8609693844223081</c:v>
                </c:pt>
                <c:pt idx="211">
                  <c:v>6.8625290509415571</c:v>
                </c:pt>
                <c:pt idx="212">
                  <c:v>6.8640894948197619</c:v>
                </c:pt>
                <c:pt idx="213">
                  <c:v>6.8656507160569333</c:v>
                </c:pt>
                <c:pt idx="214">
                  <c:v>6.8672127146530713</c:v>
                </c:pt>
                <c:pt idx="215">
                  <c:v>6.8687754906081651</c:v>
                </c:pt>
                <c:pt idx="216">
                  <c:v>6.8703390439222254</c:v>
                </c:pt>
                <c:pt idx="217">
                  <c:v>6.8719033745952487</c:v>
                </c:pt>
                <c:pt idx="218">
                  <c:v>6.8734684826272385</c:v>
                </c:pt>
                <c:pt idx="219">
                  <c:v>6.8750343680181878</c:v>
                </c:pt>
                <c:pt idx="220">
                  <c:v>6.8766010307681</c:v>
                </c:pt>
                <c:pt idx="221">
                  <c:v>6.8781684708769824</c:v>
                </c:pt>
                <c:pt idx="222">
                  <c:v>6.8797366883448205</c:v>
                </c:pt>
                <c:pt idx="223">
                  <c:v>6.8813056831716253</c:v>
                </c:pt>
                <c:pt idx="224">
                  <c:v>6.8828754553573965</c:v>
                </c:pt>
                <c:pt idx="225">
                  <c:v>6.8844460049021237</c:v>
                </c:pt>
                <c:pt idx="226">
                  <c:v>6.8860173318058173</c:v>
                </c:pt>
                <c:pt idx="227">
                  <c:v>6.8875894360684704</c:v>
                </c:pt>
                <c:pt idx="228">
                  <c:v>6.8891623176900971</c:v>
                </c:pt>
                <c:pt idx="229">
                  <c:v>6.8907359766706797</c:v>
                </c:pt>
                <c:pt idx="230">
                  <c:v>6.8923104130102253</c:v>
                </c:pt>
                <c:pt idx="231">
                  <c:v>6.8938856267087409</c:v>
                </c:pt>
                <c:pt idx="232">
                  <c:v>6.8954616177662125</c:v>
                </c:pt>
                <c:pt idx="233">
                  <c:v>6.897038386182647</c:v>
                </c:pt>
                <c:pt idx="234">
                  <c:v>6.8986159319580516</c:v>
                </c:pt>
                <c:pt idx="235">
                  <c:v>6.9001942550924156</c:v>
                </c:pt>
                <c:pt idx="236">
                  <c:v>6.901773355585739</c:v>
                </c:pt>
                <c:pt idx="237">
                  <c:v>6.9033532334380361</c:v>
                </c:pt>
                <c:pt idx="238">
                  <c:v>6.9049338886492855</c:v>
                </c:pt>
                <c:pt idx="239">
                  <c:v>6.9065153212195014</c:v>
                </c:pt>
                <c:pt idx="240">
                  <c:v>6.9080975311486803</c:v>
                </c:pt>
                <c:pt idx="241">
                  <c:v>6.9096805184368293</c:v>
                </c:pt>
                <c:pt idx="242">
                  <c:v>6.9112642830839341</c:v>
                </c:pt>
                <c:pt idx="243">
                  <c:v>6.912848825090002</c:v>
                </c:pt>
                <c:pt idx="244">
                  <c:v>6.9144341444550399</c:v>
                </c:pt>
                <c:pt idx="245">
                  <c:v>6.9160202411790372</c:v>
                </c:pt>
                <c:pt idx="246">
                  <c:v>6.917607115261994</c:v>
                </c:pt>
                <c:pt idx="247">
                  <c:v>6.9191947667039244</c:v>
                </c:pt>
                <c:pt idx="248">
                  <c:v>6.9207831955048071</c:v>
                </c:pt>
                <c:pt idx="249">
                  <c:v>6.9223724016646564</c:v>
                </c:pt>
                <c:pt idx="250">
                  <c:v>6.9239623851834686</c:v>
                </c:pt>
                <c:pt idx="251">
                  <c:v>6.9255531460612509</c:v>
                </c:pt>
                <c:pt idx="252">
                  <c:v>6.9271446842979891</c:v>
                </c:pt>
                <c:pt idx="253">
                  <c:v>6.9287369998936903</c:v>
                </c:pt>
                <c:pt idx="254">
                  <c:v>6.9303300928483615</c:v>
                </c:pt>
                <c:pt idx="255">
                  <c:v>6.9319239631619887</c:v>
                </c:pt>
                <c:pt idx="256">
                  <c:v>6.9335186108345823</c:v>
                </c:pt>
                <c:pt idx="257">
                  <c:v>6.9351140358661425</c:v>
                </c:pt>
                <c:pt idx="258">
                  <c:v>6.9367102382566621</c:v>
                </c:pt>
                <c:pt idx="259">
                  <c:v>6.9383072180061411</c:v>
                </c:pt>
                <c:pt idx="260">
                  <c:v>6.9399049751145938</c:v>
                </c:pt>
                <c:pt idx="261">
                  <c:v>6.9415035095820024</c:v>
                </c:pt>
                <c:pt idx="262">
                  <c:v>6.9431028214083739</c:v>
                </c:pt>
                <c:pt idx="263">
                  <c:v>6.9447029105937084</c:v>
                </c:pt>
                <c:pt idx="264">
                  <c:v>6.9463037771380129</c:v>
                </c:pt>
                <c:pt idx="265">
                  <c:v>6.9479054210412734</c:v>
                </c:pt>
                <c:pt idx="266">
                  <c:v>6.9495078423035004</c:v>
                </c:pt>
                <c:pt idx="267">
                  <c:v>6.9511110409246939</c:v>
                </c:pt>
                <c:pt idx="268">
                  <c:v>6.9527150169048468</c:v>
                </c:pt>
                <c:pt idx="269">
                  <c:v>6.9543197702439592</c:v>
                </c:pt>
                <c:pt idx="270">
                  <c:v>6.9559253009420452</c:v>
                </c:pt>
                <c:pt idx="271">
                  <c:v>6.9575316089990871</c:v>
                </c:pt>
                <c:pt idx="272">
                  <c:v>6.9591386944150919</c:v>
                </c:pt>
                <c:pt idx="273">
                  <c:v>6.9607465571900597</c:v>
                </c:pt>
                <c:pt idx="274">
                  <c:v>6.9623551973239977</c:v>
                </c:pt>
                <c:pt idx="275">
                  <c:v>6.9639646148168914</c:v>
                </c:pt>
                <c:pt idx="276">
                  <c:v>6.9655748096687482</c:v>
                </c:pt>
                <c:pt idx="277">
                  <c:v>6.9671857818795786</c:v>
                </c:pt>
                <c:pt idx="278">
                  <c:v>6.9687975314493613</c:v>
                </c:pt>
                <c:pt idx="279">
                  <c:v>6.9704100583781106</c:v>
                </c:pt>
                <c:pt idx="280">
                  <c:v>6.9720233626658263</c:v>
                </c:pt>
                <c:pt idx="281">
                  <c:v>6.9736374443125015</c:v>
                </c:pt>
                <c:pt idx="282">
                  <c:v>6.9752523033181397</c:v>
                </c:pt>
                <c:pt idx="283">
                  <c:v>6.976867939682748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A-482C-B6A6-95B70F2FA95A}"/>
            </c:ext>
          </c:extLst>
        </c:ser>
        <c:ser>
          <c:idx val="2"/>
          <c:order val="2"/>
          <c:tx>
            <c:v>Log Expenditure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Data150!$G$2:$G$285</c:f>
              <c:numCache>
                <c:formatCode>0.00</c:formatCode>
                <c:ptCount val="284"/>
                <c:pt idx="0">
                  <c:v>6.5638555265321274</c:v>
                </c:pt>
                <c:pt idx="1">
                  <c:v>6.5381398237676702</c:v>
                </c:pt>
                <c:pt idx="2">
                  <c:v>6.5694814204142959</c:v>
                </c:pt>
                <c:pt idx="3">
                  <c:v>6.5072777123850116</c:v>
                </c:pt>
                <c:pt idx="4">
                  <c:v>6.4831073514571989</c:v>
                </c:pt>
                <c:pt idx="5">
                  <c:v>6.6012301187288767</c:v>
                </c:pt>
                <c:pt idx="6">
                  <c:v>6.5666724298032406</c:v>
                </c:pt>
                <c:pt idx="7">
                  <c:v>6.5323342922223491</c:v>
                </c:pt>
                <c:pt idx="8">
                  <c:v>6.5624440936937196</c:v>
                </c:pt>
                <c:pt idx="9">
                  <c:v>6.5750758405996201</c:v>
                </c:pt>
                <c:pt idx="10">
                  <c:v>6.5944134597497781</c:v>
                </c:pt>
                <c:pt idx="11">
                  <c:v>6.5250296578434623</c:v>
                </c:pt>
                <c:pt idx="12">
                  <c:v>6.5117453296447279</c:v>
                </c:pt>
                <c:pt idx="13">
                  <c:v>6.5820251388928259</c:v>
                </c:pt>
                <c:pt idx="14">
                  <c:v>6.5708829623395841</c:v>
                </c:pt>
                <c:pt idx="15">
                  <c:v>6.5250296578434623</c:v>
                </c:pt>
                <c:pt idx="16">
                  <c:v>6.5424719605068047</c:v>
                </c:pt>
                <c:pt idx="17">
                  <c:v>6.620073206530356</c:v>
                </c:pt>
                <c:pt idx="18">
                  <c:v>6.5722825426940075</c:v>
                </c:pt>
                <c:pt idx="19">
                  <c:v>6.5264948595707901</c:v>
                </c:pt>
                <c:pt idx="20">
                  <c:v>6.5680779114119758</c:v>
                </c:pt>
                <c:pt idx="21">
                  <c:v>6.6240652277998935</c:v>
                </c:pt>
                <c:pt idx="22">
                  <c:v>6.6214056517641344</c:v>
                </c:pt>
                <c:pt idx="23">
                  <c:v>6.5680779114119758</c:v>
                </c:pt>
                <c:pt idx="24">
                  <c:v>6.5308776277258849</c:v>
                </c:pt>
                <c:pt idx="25">
                  <c:v>6.6080006252960866</c:v>
                </c:pt>
                <c:pt idx="26">
                  <c:v>6.6463905148477291</c:v>
                </c:pt>
                <c:pt idx="27">
                  <c:v>6.5736801669606457</c:v>
                </c:pt>
                <c:pt idx="28">
                  <c:v>6.5395859556176692</c:v>
                </c:pt>
                <c:pt idx="29">
                  <c:v>6.6293632534374485</c:v>
                </c:pt>
                <c:pt idx="30">
                  <c:v>6.6631326959908028</c:v>
                </c:pt>
                <c:pt idx="31">
                  <c:v>6.577861357721047</c:v>
                </c:pt>
                <c:pt idx="32">
                  <c:v>6.522092798170152</c:v>
                </c:pt>
                <c:pt idx="33">
                  <c:v>6.6463905148477291</c:v>
                </c:pt>
                <c:pt idx="34">
                  <c:v>6.6320017773956303</c:v>
                </c:pt>
                <c:pt idx="35">
                  <c:v>6.5998704992128365</c:v>
                </c:pt>
                <c:pt idx="36">
                  <c:v>6.5944134597497781</c:v>
                </c:pt>
                <c:pt idx="37">
                  <c:v>6.6554403503676474</c:v>
                </c:pt>
                <c:pt idx="38">
                  <c:v>6.6515718735897273</c:v>
                </c:pt>
                <c:pt idx="39">
                  <c:v>6.6025878921893364</c:v>
                </c:pt>
                <c:pt idx="40">
                  <c:v>6.5652649700353614</c:v>
                </c:pt>
                <c:pt idx="41">
                  <c:v>6.6320017773956303</c:v>
                </c:pt>
                <c:pt idx="42">
                  <c:v>6.6463905148477291</c:v>
                </c:pt>
                <c:pt idx="43">
                  <c:v>6.5581978028122689</c:v>
                </c:pt>
                <c:pt idx="44">
                  <c:v>6.5889264775335192</c:v>
                </c:pt>
                <c:pt idx="45">
                  <c:v>6.6502790485874224</c:v>
                </c:pt>
                <c:pt idx="46">
                  <c:v>6.6346333578616861</c:v>
                </c:pt>
                <c:pt idx="47">
                  <c:v>6.5916737320086582</c:v>
                </c:pt>
                <c:pt idx="48">
                  <c:v>6.5834092221587648</c:v>
                </c:pt>
                <c:pt idx="49">
                  <c:v>6.6605751498396861</c:v>
                </c:pt>
                <c:pt idx="50">
                  <c:v>6.6398758338265358</c:v>
                </c:pt>
                <c:pt idx="51">
                  <c:v>6.5930445341424369</c:v>
                </c:pt>
                <c:pt idx="52">
                  <c:v>6.5680779114119758</c:v>
                </c:pt>
                <c:pt idx="53">
                  <c:v>6.7129562006770698</c:v>
                </c:pt>
                <c:pt idx="54">
                  <c:v>6.6808546787902152</c:v>
                </c:pt>
                <c:pt idx="55">
                  <c:v>6.6080006252960866</c:v>
                </c:pt>
                <c:pt idx="56">
                  <c:v>6.6052979209482015</c:v>
                </c:pt>
                <c:pt idx="57">
                  <c:v>6.6883547139467616</c:v>
                </c:pt>
                <c:pt idx="58">
                  <c:v>6.6592939196836376</c:v>
                </c:pt>
                <c:pt idx="59">
                  <c:v>6.5998704992128365</c:v>
                </c:pt>
                <c:pt idx="60">
                  <c:v>6.6080006252960866</c:v>
                </c:pt>
                <c:pt idx="61">
                  <c:v>6.6933236682699491</c:v>
                </c:pt>
                <c:pt idx="62">
                  <c:v>6.6908422774185636</c:v>
                </c:pt>
                <c:pt idx="63">
                  <c:v>6.6605751498396861</c:v>
                </c:pt>
                <c:pt idx="64">
                  <c:v>6.6160651851328174</c:v>
                </c:pt>
                <c:pt idx="65">
                  <c:v>6.7226297948554485</c:v>
                </c:pt>
                <c:pt idx="66">
                  <c:v>6.7226297948554485</c:v>
                </c:pt>
                <c:pt idx="67">
                  <c:v>6.6106960447177592</c:v>
                </c:pt>
                <c:pt idx="68">
                  <c:v>6.6120410348330916</c:v>
                </c:pt>
                <c:pt idx="69">
                  <c:v>6.6908422774185636</c:v>
                </c:pt>
                <c:pt idx="70">
                  <c:v>6.7226297948554485</c:v>
                </c:pt>
                <c:pt idx="71">
                  <c:v>6.6306833856423717</c:v>
                </c:pt>
                <c:pt idx="72">
                  <c:v>6.6174029779744776</c:v>
                </c:pt>
                <c:pt idx="73">
                  <c:v>6.6656837177824082</c:v>
                </c:pt>
                <c:pt idx="74">
                  <c:v>6.6437897331476723</c:v>
                </c:pt>
                <c:pt idx="75">
                  <c:v>6.6346333578616861</c:v>
                </c:pt>
                <c:pt idx="76">
                  <c:v>6.6346333578616861</c:v>
                </c:pt>
                <c:pt idx="77">
                  <c:v>6.6770834612471361</c:v>
                </c:pt>
                <c:pt idx="78">
                  <c:v>6.7165947735209777</c:v>
                </c:pt>
                <c:pt idx="79">
                  <c:v>6.6214056517641344</c:v>
                </c:pt>
                <c:pt idx="80">
                  <c:v>6.6147256002037604</c:v>
                </c:pt>
                <c:pt idx="81">
                  <c:v>6.678342114654332</c:v>
                </c:pt>
                <c:pt idx="82">
                  <c:v>6.7105231094524278</c:v>
                </c:pt>
                <c:pt idx="83">
                  <c:v>6.6580110458707482</c:v>
                </c:pt>
                <c:pt idx="84">
                  <c:v>6.5861716548546747</c:v>
                </c:pt>
                <c:pt idx="85">
                  <c:v>6.7068623366027467</c:v>
                </c:pt>
                <c:pt idx="86">
                  <c:v>6.7007311095478101</c:v>
                </c:pt>
                <c:pt idx="87">
                  <c:v>6.6253923680079563</c:v>
                </c:pt>
                <c:pt idx="88">
                  <c:v>6.5971457018866513</c:v>
                </c:pt>
                <c:pt idx="89">
                  <c:v>6.7044143549641069</c:v>
                </c:pt>
                <c:pt idx="90">
                  <c:v>6.7310181004820828</c:v>
                </c:pt>
                <c:pt idx="91">
                  <c:v>6.6398758338265358</c:v>
                </c:pt>
                <c:pt idx="92">
                  <c:v>6.6160651851328174</c:v>
                </c:pt>
                <c:pt idx="93">
                  <c:v>6.7165947735209777</c:v>
                </c:pt>
                <c:pt idx="94">
                  <c:v>6.7381524945959574</c:v>
                </c:pt>
                <c:pt idx="95">
                  <c:v>6.6502790485874224</c:v>
                </c:pt>
                <c:pt idx="96">
                  <c:v>6.6293632534374485</c:v>
                </c:pt>
                <c:pt idx="97">
                  <c:v>6.6554403503676474</c:v>
                </c:pt>
                <c:pt idx="98">
                  <c:v>6.6770834612471361</c:v>
                </c:pt>
                <c:pt idx="99">
                  <c:v>6.6567265241783913</c:v>
                </c:pt>
                <c:pt idx="100">
                  <c:v>6.6476883735633292</c:v>
                </c:pt>
                <c:pt idx="101">
                  <c:v>6.7262334023587469</c:v>
                </c:pt>
                <c:pt idx="102">
                  <c:v>6.7417006946520548</c:v>
                </c:pt>
                <c:pt idx="103">
                  <c:v>6.7202201551352951</c:v>
                </c:pt>
                <c:pt idx="104">
                  <c:v>6.6821085974498091</c:v>
                </c:pt>
                <c:pt idx="105">
                  <c:v>6.7557689219842549</c:v>
                </c:pt>
                <c:pt idx="106">
                  <c:v>6.7638849085624351</c:v>
                </c:pt>
                <c:pt idx="107">
                  <c:v>6.6656837177824082</c:v>
                </c:pt>
                <c:pt idx="108">
                  <c:v>6.6554403503676474</c:v>
                </c:pt>
                <c:pt idx="109">
                  <c:v>6.7117403950561796</c:v>
                </c:pt>
                <c:pt idx="110">
                  <c:v>6.7286286130847017</c:v>
                </c:pt>
                <c:pt idx="111">
                  <c:v>6.7105231094524278</c:v>
                </c:pt>
                <c:pt idx="112">
                  <c:v>6.674561391814426</c:v>
                </c:pt>
                <c:pt idx="113">
                  <c:v>6.7286286130847017</c:v>
                </c:pt>
                <c:pt idx="114">
                  <c:v>6.7464121285733745</c:v>
                </c:pt>
                <c:pt idx="115">
                  <c:v>6.6808546787902152</c:v>
                </c:pt>
                <c:pt idx="116">
                  <c:v>6.7310181004820828</c:v>
                </c:pt>
                <c:pt idx="117">
                  <c:v>6.7298240704894754</c:v>
                </c:pt>
                <c:pt idx="118">
                  <c:v>6.7557689219842549</c:v>
                </c:pt>
                <c:pt idx="119">
                  <c:v>6.6871086078665147</c:v>
                </c:pt>
                <c:pt idx="120">
                  <c:v>6.6795991858443831</c:v>
                </c:pt>
                <c:pt idx="121">
                  <c:v>6.7810576259361799</c:v>
                </c:pt>
                <c:pt idx="122">
                  <c:v>6.7250336421668431</c:v>
                </c:pt>
                <c:pt idx="123">
                  <c:v>6.6821085974498091</c:v>
                </c:pt>
                <c:pt idx="124">
                  <c:v>6.7202201551352951</c:v>
                </c:pt>
                <c:pt idx="125">
                  <c:v>6.7900972355139046</c:v>
                </c:pt>
                <c:pt idx="126">
                  <c:v>6.7511014689367599</c:v>
                </c:pt>
                <c:pt idx="127">
                  <c:v>6.7056390948600031</c:v>
                </c:pt>
                <c:pt idx="128">
                  <c:v>6.70196036600254</c:v>
                </c:pt>
                <c:pt idx="129">
                  <c:v>6.7440591863113477</c:v>
                </c:pt>
                <c:pt idx="130">
                  <c:v>6.7417006946520548</c:v>
                </c:pt>
                <c:pt idx="131">
                  <c:v>6.7153833863346808</c:v>
                </c:pt>
                <c:pt idx="132">
                  <c:v>6.692083742506628</c:v>
                </c:pt>
                <c:pt idx="133">
                  <c:v>6.7381524945959574</c:v>
                </c:pt>
                <c:pt idx="134">
                  <c:v>6.7661917146603505</c:v>
                </c:pt>
                <c:pt idx="135">
                  <c:v>6.7274317248508551</c:v>
                </c:pt>
                <c:pt idx="136">
                  <c:v>6.7250336421668431</c:v>
                </c:pt>
                <c:pt idx="137">
                  <c:v>6.7810576259361799</c:v>
                </c:pt>
                <c:pt idx="138">
                  <c:v>6.7945865808764987</c:v>
                </c:pt>
                <c:pt idx="139">
                  <c:v>6.7452363494843626</c:v>
                </c:pt>
                <c:pt idx="140">
                  <c:v>6.7322107064672059</c:v>
                </c:pt>
                <c:pt idx="141">
                  <c:v>6.7855876450079293</c:v>
                </c:pt>
                <c:pt idx="142">
                  <c:v>6.7844570626376433</c:v>
                </c:pt>
                <c:pt idx="143">
                  <c:v>6.694562058521095</c:v>
                </c:pt>
                <c:pt idx="144">
                  <c:v>6.7557689219842549</c:v>
                </c:pt>
                <c:pt idx="145">
                  <c:v>6.816735880594968</c:v>
                </c:pt>
                <c:pt idx="146">
                  <c:v>6.7627295069318789</c:v>
                </c:pt>
                <c:pt idx="147">
                  <c:v>6.7286286130847017</c:v>
                </c:pt>
                <c:pt idx="148">
                  <c:v>6.7080840838530698</c:v>
                </c:pt>
                <c:pt idx="149">
                  <c:v>6.7889717429921701</c:v>
                </c:pt>
                <c:pt idx="150">
                  <c:v>6.7968237182748554</c:v>
                </c:pt>
                <c:pt idx="151">
                  <c:v>6.7546040994879624</c:v>
                </c:pt>
                <c:pt idx="152">
                  <c:v>6.7238324408212087</c:v>
                </c:pt>
                <c:pt idx="153">
                  <c:v>6.7810576259361799</c:v>
                </c:pt>
                <c:pt idx="154">
                  <c:v>6.7889717429921701</c:v>
                </c:pt>
                <c:pt idx="155">
                  <c:v>6.7546040994879624</c:v>
                </c:pt>
                <c:pt idx="156">
                  <c:v>6.7068623366027467</c:v>
                </c:pt>
                <c:pt idx="157">
                  <c:v>6.80128303447162</c:v>
                </c:pt>
                <c:pt idx="158">
                  <c:v>6.8134445995108956</c:v>
                </c:pt>
                <c:pt idx="159">
                  <c:v>6.752270376141742</c:v>
                </c:pt>
                <c:pt idx="160">
                  <c:v>6.7357800142423265</c:v>
                </c:pt>
                <c:pt idx="161">
                  <c:v>6.7979404129749303</c:v>
                </c:pt>
                <c:pt idx="162">
                  <c:v>6.8101424501151362</c:v>
                </c:pt>
                <c:pt idx="163">
                  <c:v>6.7569323892475532</c:v>
                </c:pt>
                <c:pt idx="164">
                  <c:v>6.7475865268293154</c:v>
                </c:pt>
                <c:pt idx="165">
                  <c:v>6.816735880594968</c:v>
                </c:pt>
                <c:pt idx="166">
                  <c:v>6.8490662826334576</c:v>
                </c:pt>
                <c:pt idx="167">
                  <c:v>6.7627295069318789</c:v>
                </c:pt>
                <c:pt idx="168">
                  <c:v>6.7833252006039597</c:v>
                </c:pt>
                <c:pt idx="169">
                  <c:v>6.8079349436999257</c:v>
                </c:pt>
                <c:pt idx="170">
                  <c:v>6.8243736700430864</c:v>
                </c:pt>
                <c:pt idx="171">
                  <c:v>6.815639990074331</c:v>
                </c:pt>
                <c:pt idx="172">
                  <c:v>6.7776465936351169</c:v>
                </c:pt>
                <c:pt idx="173">
                  <c:v>6.831953565565855</c:v>
                </c:pt>
                <c:pt idx="174">
                  <c:v>6.828712071641684</c:v>
                </c:pt>
                <c:pt idx="175">
                  <c:v>6.7923444274708089</c:v>
                </c:pt>
                <c:pt idx="176">
                  <c:v>6.7742238863576141</c:v>
                </c:pt>
                <c:pt idx="177">
                  <c:v>6.8330317327862007</c:v>
                </c:pt>
                <c:pt idx="178">
                  <c:v>6.8362592772770672</c:v>
                </c:pt>
                <c:pt idx="179">
                  <c:v>6.8090393060429797</c:v>
                </c:pt>
                <c:pt idx="180">
                  <c:v>6.7707894239089796</c:v>
                </c:pt>
                <c:pt idx="181">
                  <c:v>6.8200163646741299</c:v>
                </c:pt>
                <c:pt idx="182">
                  <c:v>6.8585650347913649</c:v>
                </c:pt>
                <c:pt idx="183">
                  <c:v>6.7833252006039597</c:v>
                </c:pt>
                <c:pt idx="184">
                  <c:v>6.7730803756555353</c:v>
                </c:pt>
                <c:pt idx="185">
                  <c:v>6.8469431395853793</c:v>
                </c:pt>
                <c:pt idx="186">
                  <c:v>6.8554087986099281</c:v>
                </c:pt>
                <c:pt idx="187">
                  <c:v>6.8511849274937431</c:v>
                </c:pt>
                <c:pt idx="188">
                  <c:v>6.8394764382288429</c:v>
                </c:pt>
                <c:pt idx="189">
                  <c:v>6.9157234486313142</c:v>
                </c:pt>
                <c:pt idx="190">
                  <c:v>6.8721281013389861</c:v>
                </c:pt>
                <c:pt idx="191">
                  <c:v>6.8243736700430864</c:v>
                </c:pt>
                <c:pt idx="192">
                  <c:v>6.7889717429921701</c:v>
                </c:pt>
                <c:pt idx="193">
                  <c:v>6.8803840821860049</c:v>
                </c:pt>
                <c:pt idx="194">
                  <c:v>6.9087547793152204</c:v>
                </c:pt>
                <c:pt idx="195">
                  <c:v>6.8243736700430864</c:v>
                </c:pt>
                <c:pt idx="196">
                  <c:v>6.7889717429921701</c:v>
                </c:pt>
                <c:pt idx="197">
                  <c:v>6.8710912946105456</c:v>
                </c:pt>
                <c:pt idx="198">
                  <c:v>6.8814113036425351</c:v>
                </c:pt>
                <c:pt idx="199">
                  <c:v>6.8232861223556869</c:v>
                </c:pt>
                <c:pt idx="200">
                  <c:v>6.8023947633243109</c:v>
                </c:pt>
                <c:pt idx="201">
                  <c:v>6.8803840821860049</c:v>
                </c:pt>
                <c:pt idx="202">
                  <c:v>6.8721281013389861</c:v>
                </c:pt>
                <c:pt idx="203">
                  <c:v>6.8276292345028518</c:v>
                </c:pt>
                <c:pt idx="204">
                  <c:v>6.799055862058796</c:v>
                </c:pt>
                <c:pt idx="205">
                  <c:v>6.8814113036425351</c:v>
                </c:pt>
                <c:pt idx="206">
                  <c:v>6.8532990931860782</c:v>
                </c:pt>
                <c:pt idx="207">
                  <c:v>6.8437499490062246</c:v>
                </c:pt>
                <c:pt idx="208">
                  <c:v>6.8243736700430864</c:v>
                </c:pt>
                <c:pt idx="209">
                  <c:v>6.8480052745763631</c:v>
                </c:pt>
                <c:pt idx="210">
                  <c:v>6.9027427371585928</c:v>
                </c:pt>
                <c:pt idx="211">
                  <c:v>6.8341087388138382</c:v>
                </c:pt>
                <c:pt idx="212">
                  <c:v>6.8490662826334576</c:v>
                </c:pt>
                <c:pt idx="213">
                  <c:v>6.9295167707636498</c:v>
                </c:pt>
                <c:pt idx="214">
                  <c:v>6.8762646118907664</c:v>
                </c:pt>
                <c:pt idx="215">
                  <c:v>6.8448154792082629</c:v>
                </c:pt>
                <c:pt idx="216">
                  <c:v>6.826545223556594</c:v>
                </c:pt>
                <c:pt idx="217">
                  <c:v>6.8752320872765766</c:v>
                </c:pt>
                <c:pt idx="218">
                  <c:v>6.8906091201471664</c:v>
                </c:pt>
                <c:pt idx="219">
                  <c:v>6.8437499490062246</c:v>
                </c:pt>
                <c:pt idx="220">
                  <c:v>6.815639990074331</c:v>
                </c:pt>
                <c:pt idx="221">
                  <c:v>6.8783264682913252</c:v>
                </c:pt>
                <c:pt idx="222">
                  <c:v>6.8824374709978473</c:v>
                </c:pt>
                <c:pt idx="223">
                  <c:v>6.8480052745763631</c:v>
                </c:pt>
                <c:pt idx="224">
                  <c:v>6.8564619845945867</c:v>
                </c:pt>
                <c:pt idx="225">
                  <c:v>6.9546388648809874</c:v>
                </c:pt>
                <c:pt idx="226">
                  <c:v>6.9137373506596846</c:v>
                </c:pt>
                <c:pt idx="227">
                  <c:v>6.9067547786485539</c:v>
                </c:pt>
                <c:pt idx="228">
                  <c:v>6.8814113036425351</c:v>
                </c:pt>
                <c:pt idx="229">
                  <c:v>6.9186952190204716</c:v>
                </c:pt>
                <c:pt idx="230">
                  <c:v>6.9275579062783166</c:v>
                </c:pt>
                <c:pt idx="231">
                  <c:v>6.879355804460439</c:v>
                </c:pt>
                <c:pt idx="232">
                  <c:v>6.8658910748834385</c:v>
                </c:pt>
                <c:pt idx="233">
                  <c:v>6.9127428204931762</c:v>
                </c:pt>
                <c:pt idx="234">
                  <c:v>6.9546388648809874</c:v>
                </c:pt>
                <c:pt idx="235">
                  <c:v>6.9037472575845982</c:v>
                </c:pt>
                <c:pt idx="236">
                  <c:v>6.8803840821860049</c:v>
                </c:pt>
                <c:pt idx="237">
                  <c:v>6.9246123960485599</c:v>
                </c:pt>
                <c:pt idx="238">
                  <c:v>6.9177056098353047</c:v>
                </c:pt>
                <c:pt idx="239">
                  <c:v>6.8834625864130921</c:v>
                </c:pt>
                <c:pt idx="240">
                  <c:v>6.8987145343299883</c:v>
                </c:pt>
                <c:pt idx="241">
                  <c:v>6.9206715042486833</c:v>
                </c:pt>
                <c:pt idx="242">
                  <c:v>6.9363427358340495</c:v>
                </c:pt>
                <c:pt idx="243">
                  <c:v>6.8814113036425351</c:v>
                </c:pt>
                <c:pt idx="244">
                  <c:v>6.8865316425305103</c:v>
                </c:pt>
                <c:pt idx="245">
                  <c:v>6.9226438914758877</c:v>
                </c:pt>
                <c:pt idx="246">
                  <c:v>6.9285378181646653</c:v>
                </c:pt>
                <c:pt idx="247">
                  <c:v>6.9107507879619359</c:v>
                </c:pt>
                <c:pt idx="248">
                  <c:v>6.9067547786485539</c:v>
                </c:pt>
                <c:pt idx="249">
                  <c:v>6.9285378181646653</c:v>
                </c:pt>
                <c:pt idx="250">
                  <c:v>6.9196838498474111</c:v>
                </c:pt>
                <c:pt idx="251">
                  <c:v>6.8803840821860049</c:v>
                </c:pt>
                <c:pt idx="252">
                  <c:v>6.8741984954532942</c:v>
                </c:pt>
                <c:pt idx="253">
                  <c:v>6.9314718055994531</c:v>
                </c:pt>
                <c:pt idx="254">
                  <c:v>6.9688503783419478</c:v>
                </c:pt>
                <c:pt idx="255">
                  <c:v>6.9077552789821368</c:v>
                </c:pt>
                <c:pt idx="256">
                  <c:v>6.8906091201471664</c:v>
                </c:pt>
                <c:pt idx="257">
                  <c:v>6.9411900550683745</c:v>
                </c:pt>
                <c:pt idx="258">
                  <c:v>6.9527286446248686</c:v>
                </c:pt>
                <c:pt idx="259">
                  <c:v>6.9087547793152204</c:v>
                </c:pt>
                <c:pt idx="260">
                  <c:v>6.9275579062783166</c:v>
                </c:pt>
                <c:pt idx="261">
                  <c:v>6.9828627514689421</c:v>
                </c:pt>
                <c:pt idx="262">
                  <c:v>6.9874902470009905</c:v>
                </c:pt>
                <c:pt idx="263">
                  <c:v>6.9392539460415081</c:v>
                </c:pt>
                <c:pt idx="264">
                  <c:v>6.9498564550007726</c:v>
                </c:pt>
                <c:pt idx="265">
                  <c:v>6.9957661563048505</c:v>
                </c:pt>
                <c:pt idx="266">
                  <c:v>6.9939329752231894</c:v>
                </c:pt>
                <c:pt idx="267">
                  <c:v>6.9754139274559517</c:v>
                </c:pt>
                <c:pt idx="268">
                  <c:v>6.9077552789821368</c:v>
                </c:pt>
                <c:pt idx="269">
                  <c:v>6.9948499858330706</c:v>
                </c:pt>
                <c:pt idx="270">
                  <c:v>6.9902565004938806</c:v>
                </c:pt>
                <c:pt idx="271">
                  <c:v>6.9246123960485599</c:v>
                </c:pt>
                <c:pt idx="272">
                  <c:v>6.9206715042486833</c:v>
                </c:pt>
                <c:pt idx="273">
                  <c:v>6.9688503783419478</c:v>
                </c:pt>
                <c:pt idx="274">
                  <c:v>6.9884131819995918</c:v>
                </c:pt>
                <c:pt idx="275">
                  <c:v>6.9216581841511289</c:v>
                </c:pt>
                <c:pt idx="276">
                  <c:v>6.9047507699618382</c:v>
                </c:pt>
                <c:pt idx="277">
                  <c:v>7.00033446027523</c:v>
                </c:pt>
                <c:pt idx="278">
                  <c:v>7.0048819897128594</c:v>
                </c:pt>
                <c:pt idx="279">
                  <c:v>6.9255951971104679</c:v>
                </c:pt>
                <c:pt idx="280">
                  <c:v>6.9246123960485599</c:v>
                </c:pt>
                <c:pt idx="281">
                  <c:v>6.9744789110250451</c:v>
                </c:pt>
                <c:pt idx="282">
                  <c:v>7.0121152943063798</c:v>
                </c:pt>
                <c:pt idx="283">
                  <c:v>6.9874902470009905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8A-482C-B6A6-95B70F2FA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620848"/>
        <c:axId val="507138912"/>
      </c:lineChart>
      <c:dateAx>
        <c:axId val="50462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38912"/>
        <c:crosses val="autoZero"/>
        <c:auto val="1"/>
        <c:lblOffset val="100"/>
        <c:baseTimeUnit val="months"/>
        <c:majorUnit val="5"/>
        <c:majorTimeUnit val="years"/>
      </c:dateAx>
      <c:valAx>
        <c:axId val="507138912"/>
        <c:scaling>
          <c:orientation val="minMax"/>
          <c:max val="7.1"/>
          <c:min val="6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2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Detrended Consumption Expenditure: Log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Detrended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Data150!$N$2:$N$285</c:f>
              <c:numCache>
                <c:formatCode>0.000</c:formatCode>
                <c:ptCount val="284"/>
                <c:pt idx="0">
                  <c:v>1.3193723318818407E-2</c:v>
                </c:pt>
                <c:pt idx="1">
                  <c:v>-1.3918400582584312E-2</c:v>
                </c:pt>
                <c:pt idx="2">
                  <c:v>1.6025997568132944E-2</c:v>
                </c:pt>
                <c:pt idx="3">
                  <c:v>-4.7575686316026378E-2</c:v>
                </c:pt>
                <c:pt idx="4">
                  <c:v>-7.3144800457680681E-2</c:v>
                </c:pt>
                <c:pt idx="5">
                  <c:v>4.3578436241199725E-2</c:v>
                </c:pt>
                <c:pt idx="6">
                  <c:v>7.6204393837997486E-3</c:v>
                </c:pt>
                <c:pt idx="7">
                  <c:v>-2.8118783487822263E-2</c:v>
                </c:pt>
                <c:pt idx="8">
                  <c:v>5.8915533385839325E-4</c:v>
                </c:pt>
                <c:pt idx="9">
                  <c:v>1.1818262231106047E-2</c:v>
                </c:pt>
                <c:pt idx="10">
                  <c:v>2.9752464013644619E-2</c:v>
                </c:pt>
                <c:pt idx="11">
                  <c:v>-4.103553261924997E-2</c:v>
                </c:pt>
                <c:pt idx="12">
                  <c:v>-5.5724832903526256E-2</c:v>
                </c:pt>
                <c:pt idx="13">
                  <c:v>1.3149226900063482E-2</c:v>
                </c:pt>
                <c:pt idx="14">
                  <c:v>6.0052354334683145E-4</c:v>
                </c:pt>
                <c:pt idx="15">
                  <c:v>-4.6660085115205696E-2</c:v>
                </c:pt>
                <c:pt idx="16">
                  <c:v>-3.0625863973260614E-2</c:v>
                </c:pt>
                <c:pt idx="17">
                  <c:v>4.5566523169926931E-2</c:v>
                </c:pt>
                <c:pt idx="18">
                  <c:v>-3.6337769057448455E-3</c:v>
                </c:pt>
                <c:pt idx="19">
                  <c:v>-5.0831873627244839E-2</c:v>
                </c:pt>
                <c:pt idx="20">
                  <c:v>-1.0660012743315406E-2</c:v>
                </c:pt>
                <c:pt idx="21">
                  <c:v>4.3915335328390093E-2</c:v>
                </c:pt>
                <c:pt idx="22">
                  <c:v>3.9843013617455902E-2</c:v>
                </c:pt>
                <c:pt idx="23">
                  <c:v>-1.4898249768840799E-2</c:v>
                </c:pt>
                <c:pt idx="24">
                  <c:v>-5.3512833848039953E-2</c:v>
                </c:pt>
                <c:pt idx="25">
                  <c:v>2.2195085970094119E-2</c:v>
                </c:pt>
                <c:pt idx="26">
                  <c:v>5.9169120410709652E-2</c:v>
                </c:pt>
                <c:pt idx="27">
                  <c:v>-1.4957859946374441E-2</c:v>
                </c:pt>
                <c:pt idx="28">
                  <c:v>-5.046948111830396E-2</c:v>
                </c:pt>
                <c:pt idx="29">
                  <c:v>3.7889629513555789E-2</c:v>
                </c:pt>
                <c:pt idx="30">
                  <c:v>7.0240107520020523E-2</c:v>
                </c:pt>
                <c:pt idx="31">
                  <c:v>-1.6450972655577267E-2</c:v>
                </c:pt>
                <c:pt idx="32">
                  <c:v>-7.3640051471280721E-2</c:v>
                </c:pt>
                <c:pt idx="33">
                  <c:v>4.9236368582517898E-2</c:v>
                </c:pt>
                <c:pt idx="34">
                  <c:v>3.342555714768114E-2</c:v>
                </c:pt>
                <c:pt idx="35">
                  <c:v>-1.2857237681007661E-4</c:v>
                </c:pt>
                <c:pt idx="36">
                  <c:v>-7.0092405405288716E-3</c:v>
                </c:pt>
                <c:pt idx="37">
                  <c:v>5.2593244017706375E-2</c:v>
                </c:pt>
                <c:pt idx="38">
                  <c:v>4.7299583821200031E-2</c:v>
                </c:pt>
                <c:pt idx="39">
                  <c:v>-3.1103583567437809E-3</c:v>
                </c:pt>
                <c:pt idx="40">
                  <c:v>-4.1860018647241759E-2</c:v>
                </c:pt>
                <c:pt idx="41">
                  <c:v>2.3449273217551969E-2</c:v>
                </c:pt>
                <c:pt idx="42">
                  <c:v>3.6409717815208964E-2</c:v>
                </c:pt>
                <c:pt idx="43">
                  <c:v>-5.3212064433663109E-2</c:v>
                </c:pt>
                <c:pt idx="44">
                  <c:v>-2.3913237284780564E-2</c:v>
                </c:pt>
                <c:pt idx="45">
                  <c:v>3.6008708837788284E-2</c:v>
                </c:pt>
                <c:pt idx="46">
                  <c:v>1.8931615821758285E-2</c:v>
                </c:pt>
                <c:pt idx="47">
                  <c:v>-2.5460189680533318E-2</c:v>
                </c:pt>
                <c:pt idx="48">
                  <c:v>-3.5157656538649995E-2</c:v>
                </c:pt>
                <c:pt idx="49">
                  <c:v>4.057453677508871E-2</c:v>
                </c:pt>
                <c:pt idx="50">
                  <c:v>1.8440709035782099E-2</c:v>
                </c:pt>
                <c:pt idx="51">
                  <c:v>-2.9825879733428984E-2</c:v>
                </c:pt>
                <c:pt idx="52">
                  <c:v>-5.6228568907965126E-2</c:v>
                </c:pt>
                <c:pt idx="53">
                  <c:v>8.7212876554083607E-2</c:v>
                </c:pt>
                <c:pt idx="54">
                  <c:v>5.3673733505227972E-2</c:v>
                </c:pt>
                <c:pt idx="55">
                  <c:v>-2.0618718509864742E-2</c:v>
                </c:pt>
                <c:pt idx="56">
                  <c:v>-2.4760598737683992E-2</c:v>
                </c:pt>
                <c:pt idx="57">
                  <c:v>5.6856241021986165E-2</c:v>
                </c:pt>
                <c:pt idx="58">
                  <c:v>2.6354716161005598E-2</c:v>
                </c:pt>
                <c:pt idx="59">
                  <c:v>-3.451021226661144E-2</c:v>
                </c:pt>
                <c:pt idx="60">
                  <c:v>-2.7822371499151011E-2</c:v>
                </c:pt>
                <c:pt idx="61">
                  <c:v>5.6057608799966019E-2</c:v>
                </c:pt>
                <c:pt idx="62">
                  <c:v>5.213237791487213E-2</c:v>
                </c:pt>
                <c:pt idx="63">
                  <c:v>2.0420632943316086E-2</c:v>
                </c:pt>
                <c:pt idx="64">
                  <c:v>-2.5534726515187067E-2</c:v>
                </c:pt>
                <c:pt idx="65">
                  <c:v>7.9583711096846699E-2</c:v>
                </c:pt>
                <c:pt idx="66">
                  <c:v>7.8136761627279228E-2</c:v>
                </c:pt>
                <c:pt idx="67">
                  <c:v>-3.5244715338933474E-2</c:v>
                </c:pt>
                <c:pt idx="68">
                  <c:v>-3.5348229411090948E-2</c:v>
                </c:pt>
                <c:pt idx="69">
                  <c:v>4.2003731627931806E-2</c:v>
                </c:pt>
                <c:pt idx="70">
                  <c:v>7.2341190159393776E-2</c:v>
                </c:pt>
                <c:pt idx="71">
                  <c:v>-2.105605531805832E-2</c:v>
                </c:pt>
                <c:pt idx="72">
                  <c:v>-3.5788076609294173E-2</c:v>
                </c:pt>
                <c:pt idx="73">
                  <c:v>1.1040272216324531E-2</c:v>
                </c:pt>
                <c:pt idx="74">
                  <c:v>-1.2306880759679117E-2</c:v>
                </c:pt>
                <c:pt idx="75">
                  <c:v>-2.2917201745896065E-2</c:v>
                </c:pt>
                <c:pt idx="76">
                  <c:v>-2.4371924805096867E-2</c:v>
                </c:pt>
                <c:pt idx="77">
                  <c:v>1.6622678162196536E-2</c:v>
                </c:pt>
                <c:pt idx="78">
                  <c:v>5.4677712658914857E-2</c:v>
                </c:pt>
                <c:pt idx="79">
                  <c:v>-4.1968464234018121E-2</c:v>
                </c:pt>
                <c:pt idx="80">
                  <c:v>-5.0106348289441272E-2</c:v>
                </c:pt>
                <c:pt idx="81">
                  <c:v>1.2051556307121736E-2</c:v>
                </c:pt>
                <c:pt idx="82">
                  <c:v>4.2773163892242394E-2</c:v>
                </c:pt>
                <c:pt idx="83">
                  <c:v>-1.1199064261382397E-2</c:v>
                </c:pt>
                <c:pt idx="84">
                  <c:v>-8.4499397208356974E-2</c:v>
                </c:pt>
                <c:pt idx="85">
                  <c:v>3.4729565249850936E-2</c:v>
                </c:pt>
                <c:pt idx="86">
                  <c:v>2.7135841546080286E-2</c:v>
                </c:pt>
                <c:pt idx="87">
                  <c:v>-4.966617400156359E-2</c:v>
                </c:pt>
                <c:pt idx="88">
                  <c:v>-7.9376891489625123E-2</c:v>
                </c:pt>
                <c:pt idx="89">
                  <c:v>2.64269328621074E-2</c:v>
                </c:pt>
                <c:pt idx="90">
                  <c:v>5.156507229540086E-2</c:v>
                </c:pt>
                <c:pt idx="91">
                  <c:v>-4.1043577803788089E-2</c:v>
                </c:pt>
                <c:pt idx="92">
                  <c:v>-6.6321387300114942E-2</c:v>
                </c:pt>
                <c:pt idx="93">
                  <c:v>3.2740262926466812E-2</c:v>
                </c:pt>
                <c:pt idx="94">
                  <c:v>5.2829268480912184E-2</c:v>
                </c:pt>
                <c:pt idx="95">
                  <c:v>-3.6513670407116727E-2</c:v>
                </c:pt>
                <c:pt idx="96">
                  <c:v>-5.8899735795561625E-2</c:v>
                </c:pt>
                <c:pt idx="97">
                  <c:v>-3.4293686462786077E-2</c:v>
                </c:pt>
                <c:pt idx="98">
                  <c:v>-1.4122400539683611E-2</c:v>
                </c:pt>
                <c:pt idx="99">
                  <c:v>-3.595193992378487E-2</c:v>
                </c:pt>
                <c:pt idx="100">
                  <c:v>-4.6463470213162772E-2</c:v>
                </c:pt>
                <c:pt idx="101">
                  <c:v>3.0607401548979674E-2</c:v>
                </c:pt>
                <c:pt idx="102">
                  <c:v>4.459975945003869E-2</c:v>
                </c:pt>
                <c:pt idx="103">
                  <c:v>2.1643508182074278E-2</c:v>
                </c:pt>
                <c:pt idx="104">
                  <c:v>-1.7944538613579475E-2</c:v>
                </c:pt>
                <c:pt idx="105">
                  <c:v>5.4238519451735634E-2</c:v>
                </c:pt>
                <c:pt idx="106">
                  <c:v>6.0876462201814974E-2</c:v>
                </c:pt>
                <c:pt idx="107">
                  <c:v>-3.8803549765268563E-2</c:v>
                </c:pt>
                <c:pt idx="108">
                  <c:v>-5.0526515726049048E-2</c:v>
                </c:pt>
                <c:pt idx="109">
                  <c:v>4.2931530574934484E-3</c:v>
                </c:pt>
                <c:pt idx="110">
                  <c:v>1.9700217822066435E-2</c:v>
                </c:pt>
                <c:pt idx="111">
                  <c:v>1.1278356688393387E-4</c:v>
                </c:pt>
                <c:pt idx="112">
                  <c:v>-3.7331642053000103E-2</c:v>
                </c:pt>
                <c:pt idx="113">
                  <c:v>1.5252093876437556E-2</c:v>
                </c:pt>
                <c:pt idx="114">
                  <c:v>3.1551346665312785E-2</c:v>
                </c:pt>
                <c:pt idx="115">
                  <c:v>-3.5491143176610507E-2</c:v>
                </c:pt>
                <c:pt idx="116">
                  <c:v>1.3186461097522972E-2</c:v>
                </c:pt>
                <c:pt idx="117">
                  <c:v>1.0505836328225548E-2</c:v>
                </c:pt>
                <c:pt idx="118">
                  <c:v>3.4963315687352114E-2</c:v>
                </c:pt>
                <c:pt idx="119">
                  <c:v>-3.5185147925014704E-2</c:v>
                </c:pt>
                <c:pt idx="120">
                  <c:v>-4.4183496800725308E-2</c:v>
                </c:pt>
                <c:pt idx="121">
                  <c:v>5.5785239078526061E-2</c:v>
                </c:pt>
                <c:pt idx="122">
                  <c:v>-1.7292262623227472E-3</c:v>
                </c:pt>
                <c:pt idx="123">
                  <c:v>-4.614552990982812E-2</c:v>
                </c:pt>
                <c:pt idx="124">
                  <c:v>-9.526008513776496E-3</c:v>
                </c:pt>
                <c:pt idx="125">
                  <c:v>5.8858258216439197E-2</c:v>
                </c:pt>
                <c:pt idx="126">
                  <c:v>1.8368900631926977E-2</c:v>
                </c:pt>
                <c:pt idx="127">
                  <c:v>-2.8587841811153147E-2</c:v>
                </c:pt>
                <c:pt idx="128">
                  <c:v>-3.3761716393906127E-2</c:v>
                </c:pt>
                <c:pt idx="129">
                  <c:v>6.8411808306452215E-3</c:v>
                </c:pt>
                <c:pt idx="130">
                  <c:v>2.9859887281400432E-3</c:v>
                </c:pt>
                <c:pt idx="131">
                  <c:v>-2.4828797391412749E-2</c:v>
                </c:pt>
                <c:pt idx="132">
                  <c:v>-4.9626696380610902E-2</c:v>
                </c:pt>
                <c:pt idx="133">
                  <c:v>-5.0569768113861713E-3</c:v>
                </c:pt>
                <c:pt idx="134">
                  <c:v>2.1482433373942733E-2</c:v>
                </c:pt>
                <c:pt idx="135">
                  <c:v>-1.8778143673590542E-2</c:v>
                </c:pt>
                <c:pt idx="136">
                  <c:v>-2.2677590954596205E-2</c:v>
                </c:pt>
                <c:pt idx="137">
                  <c:v>3.1844250858783951E-2</c:v>
                </c:pt>
                <c:pt idx="138">
                  <c:v>4.3870286484183119E-2</c:v>
                </c:pt>
                <c:pt idx="139">
                  <c:v>-6.9836415818427255E-3</c:v>
                </c:pt>
                <c:pt idx="140">
                  <c:v>-2.1513758631848567E-2</c:v>
                </c:pt>
                <c:pt idx="141">
                  <c:v>3.0357928517066313E-2</c:v>
                </c:pt>
                <c:pt idx="142">
                  <c:v>2.7721317396001588E-2</c:v>
                </c:pt>
                <c:pt idx="143">
                  <c:v>-6.3680492830284763E-2</c:v>
                </c:pt>
                <c:pt idx="144">
                  <c:v>-3.9812128358258647E-3</c:v>
                </c:pt>
                <c:pt idx="145">
                  <c:v>5.5477384947219655E-2</c:v>
                </c:pt>
                <c:pt idx="146">
                  <c:v>-3.8126902496493642E-5</c:v>
                </c:pt>
                <c:pt idx="147">
                  <c:v>-3.5648936295263667E-2</c:v>
                </c:pt>
                <c:pt idx="148">
                  <c:v>-5.7704158431448604E-2</c:v>
                </c:pt>
                <c:pt idx="149">
                  <c:v>2.1672030444128687E-2</c:v>
                </c:pt>
                <c:pt idx="150">
                  <c:v>2.8011758104331541E-2</c:v>
                </c:pt>
                <c:pt idx="151">
                  <c:v>-1.5720885664003426E-2</c:v>
                </c:pt>
                <c:pt idx="152">
                  <c:v>-4.8006346671169098E-2</c:v>
                </c:pt>
                <c:pt idx="153">
                  <c:v>7.7042587444307031E-3</c:v>
                </c:pt>
                <c:pt idx="154">
                  <c:v>1.4103018742086526E-2</c:v>
                </c:pt>
                <c:pt idx="155">
                  <c:v>-2.1780759179422127E-2</c:v>
                </c:pt>
                <c:pt idx="156">
                  <c:v>-7.103943384089817E-2</c:v>
                </c:pt>
                <c:pt idx="157">
                  <c:v>2.1863574892751814E-2</c:v>
                </c:pt>
                <c:pt idx="158">
                  <c:v>3.2506673437834088E-2</c:v>
                </c:pt>
                <c:pt idx="159">
                  <c:v>-3.0186793784468868E-2</c:v>
                </c:pt>
                <c:pt idx="160">
                  <c:v>-4.8197176895996563E-2</c:v>
                </c:pt>
                <c:pt idx="161">
                  <c:v>1.2442423265528468E-2</c:v>
                </c:pt>
                <c:pt idx="162">
                  <c:v>2.3122884475688998E-2</c:v>
                </c:pt>
                <c:pt idx="163">
                  <c:v>-3.1609529680898696E-2</c:v>
                </c:pt>
                <c:pt idx="164">
                  <c:v>-4.2478522747100733E-2</c:v>
                </c:pt>
                <c:pt idx="165">
                  <c:v>2.5146923011614142E-2</c:v>
                </c:pt>
                <c:pt idx="166">
                  <c:v>5.5952639684210048E-2</c:v>
                </c:pt>
                <c:pt idx="167">
                  <c:v>-3.1909598742221768E-2</c:v>
                </c:pt>
                <c:pt idx="168">
                  <c:v>-1.2840145153967697E-2</c:v>
                </c:pt>
                <c:pt idx="169">
                  <c:v>1.024258049921567E-2</c:v>
                </c:pt>
                <c:pt idx="170">
                  <c:v>2.5153512040627213E-2</c:v>
                </c:pt>
                <c:pt idx="171">
                  <c:v>1.4891259911163246E-2</c:v>
                </c:pt>
                <c:pt idx="172">
                  <c:v>-2.4631486047729467E-2</c:v>
                </c:pt>
                <c:pt idx="173">
                  <c:v>2.814535900437054E-2</c:v>
                </c:pt>
                <c:pt idx="174">
                  <c:v>2.3372960842602097E-2</c:v>
                </c:pt>
                <c:pt idx="175">
                  <c:v>-1.452636492484416E-2</c:v>
                </c:pt>
                <c:pt idx="176">
                  <c:v>-3.4179364993565997E-2</c:v>
                </c:pt>
                <c:pt idx="177">
                  <c:v>2.309524512053418E-2</c:v>
                </c:pt>
                <c:pt idx="178">
                  <c:v>2.4788775937940599E-2</c:v>
                </c:pt>
                <c:pt idx="179">
                  <c:v>-3.9659863285628205E-3</c:v>
                </c:pt>
                <c:pt idx="180">
                  <c:v>-4.3751436853941783E-2</c:v>
                </c:pt>
                <c:pt idx="181">
                  <c:v>3.9391581608558823E-3</c:v>
                </c:pt>
                <c:pt idx="182">
                  <c:v>4.0950705168786072E-2</c:v>
                </c:pt>
                <c:pt idx="183">
                  <c:v>-3.5827029486886985E-2</c:v>
                </c:pt>
                <c:pt idx="184">
                  <c:v>-4.7610532262545746E-2</c:v>
                </c:pt>
                <c:pt idx="185">
                  <c:v>2.4712776481097265E-2</c:v>
                </c:pt>
                <c:pt idx="186">
                  <c:v>3.1638202960485806E-2</c:v>
                </c:pt>
                <c:pt idx="187">
                  <c:v>2.5873321940177441E-2</c:v>
                </c:pt>
                <c:pt idx="188">
                  <c:v>1.2623045412183842E-2</c:v>
                </c:pt>
                <c:pt idx="189">
                  <c:v>8.7327491192605855E-2</c:v>
                </c:pt>
                <c:pt idx="190">
                  <c:v>4.2188801919265551E-2</c:v>
                </c:pt>
                <c:pt idx="191">
                  <c:v>-7.1097487166165152E-3</c:v>
                </c:pt>
                <c:pt idx="192">
                  <c:v>-4.4056572466470989E-2</c:v>
                </c:pt>
                <c:pt idx="193">
                  <c:v>4.5810092669459124E-2</c:v>
                </c:pt>
                <c:pt idx="194">
                  <c:v>7.2634338381810437E-2</c:v>
                </c:pt>
                <c:pt idx="195">
                  <c:v>-1.3293999666161405E-2</c:v>
                </c:pt>
                <c:pt idx="196">
                  <c:v>-5.024393285186779E-2</c:v>
                </c:pt>
                <c:pt idx="197">
                  <c:v>3.032683527275104E-2</c:v>
                </c:pt>
                <c:pt idx="198">
                  <c:v>3.9097283452013798E-2</c:v>
                </c:pt>
                <c:pt idx="199">
                  <c:v>-2.0578236046516984E-2</c:v>
                </c:pt>
                <c:pt idx="200">
                  <c:v>-4.3020710648538518E-2</c:v>
                </c:pt>
                <c:pt idx="201">
                  <c:v>3.3416715283539844E-2</c:v>
                </c:pt>
                <c:pt idx="202">
                  <c:v>2.360806414794947E-2</c:v>
                </c:pt>
                <c:pt idx="203">
                  <c:v>-2.2444250335719396E-2</c:v>
                </c:pt>
                <c:pt idx="204">
                  <c:v>-5.2571847786283321E-2</c:v>
                </c:pt>
                <c:pt idx="205">
                  <c:v>2.8228591431995298E-2</c:v>
                </c:pt>
                <c:pt idx="206">
                  <c:v>-1.4393987488885429E-3</c:v>
                </c:pt>
                <c:pt idx="207">
                  <c:v>-1.254510001213216E-2</c:v>
                </c:pt>
                <c:pt idx="208">
                  <c:v>-3.3478713417626871E-2</c:v>
                </c:pt>
                <c:pt idx="209">
                  <c:v>-1.1405220685666073E-2</c:v>
                </c:pt>
                <c:pt idx="210">
                  <c:v>4.1773352736284686E-2</c:v>
                </c:pt>
                <c:pt idx="211">
                  <c:v>-2.8420312127718894E-2</c:v>
                </c:pt>
                <c:pt idx="212">
                  <c:v>-1.5023212186304313E-2</c:v>
                </c:pt>
                <c:pt idx="213">
                  <c:v>6.3866054706716469E-2</c:v>
                </c:pt>
                <c:pt idx="214">
                  <c:v>9.0518972376951723E-3</c:v>
                </c:pt>
                <c:pt idx="215">
                  <c:v>-2.3960011399902115E-2</c:v>
                </c:pt>
                <c:pt idx="216">
                  <c:v>-4.3793820365631397E-2</c:v>
                </c:pt>
                <c:pt idx="217">
                  <c:v>3.32871268132795E-3</c:v>
                </c:pt>
                <c:pt idx="218">
                  <c:v>1.7140637519927893E-2</c:v>
                </c:pt>
                <c:pt idx="219">
                  <c:v>-3.1284419011963216E-2</c:v>
                </c:pt>
                <c:pt idx="220">
                  <c:v>-6.0961040693769064E-2</c:v>
                </c:pt>
                <c:pt idx="221">
                  <c:v>1.5799741434285863E-4</c:v>
                </c:pt>
                <c:pt idx="222">
                  <c:v>2.7007826530267565E-3</c:v>
                </c:pt>
                <c:pt idx="223">
                  <c:v>-3.3300408595262176E-2</c:v>
                </c:pt>
                <c:pt idx="224">
                  <c:v>-2.6413470762809865E-2</c:v>
                </c:pt>
                <c:pt idx="225">
                  <c:v>7.0192859978863709E-2</c:v>
                </c:pt>
                <c:pt idx="226">
                  <c:v>2.7720018853867323E-2</c:v>
                </c:pt>
                <c:pt idx="227">
                  <c:v>1.9165342580083511E-2</c:v>
                </c:pt>
                <c:pt idx="228">
                  <c:v>-7.7510140475620659E-3</c:v>
                </c:pt>
                <c:pt idx="229">
                  <c:v>2.7959242349791857E-2</c:v>
                </c:pt>
                <c:pt idx="230">
                  <c:v>3.524749326809129E-2</c:v>
                </c:pt>
                <c:pt idx="231">
                  <c:v>-1.4529822248301905E-2</c:v>
                </c:pt>
                <c:pt idx="232">
                  <c:v>-2.9570542882773942E-2</c:v>
                </c:pt>
                <c:pt idx="233">
                  <c:v>1.5704434310529258E-2</c:v>
                </c:pt>
                <c:pt idx="234">
                  <c:v>5.6022932922935809E-2</c:v>
                </c:pt>
                <c:pt idx="235">
                  <c:v>3.5530024921825998E-3</c:v>
                </c:pt>
                <c:pt idx="236">
                  <c:v>-2.1389273399734066E-2</c:v>
                </c:pt>
                <c:pt idx="237">
                  <c:v>2.1259162610523852E-2</c:v>
                </c:pt>
                <c:pt idx="238">
                  <c:v>1.2771721186019214E-2</c:v>
                </c:pt>
                <c:pt idx="239">
                  <c:v>-2.3052734806409347E-2</c:v>
                </c:pt>
                <c:pt idx="240">
                  <c:v>-9.3829968186920354E-3</c:v>
                </c:pt>
                <c:pt idx="241">
                  <c:v>1.0990985811853982E-2</c:v>
                </c:pt>
                <c:pt idx="242">
                  <c:v>2.5078452750115332E-2</c:v>
                </c:pt>
                <c:pt idx="243">
                  <c:v>-3.1437521447466921E-2</c:v>
                </c:pt>
                <c:pt idx="244">
                  <c:v>-2.7902501924529588E-2</c:v>
                </c:pt>
                <c:pt idx="245">
                  <c:v>6.6236502968504141E-3</c:v>
                </c:pt>
                <c:pt idx="246">
                  <c:v>1.0930702902671285E-2</c:v>
                </c:pt>
                <c:pt idx="247">
                  <c:v>-8.4439787419885448E-3</c:v>
                </c:pt>
                <c:pt idx="248">
                  <c:v>-1.4028416856253223E-2</c:v>
                </c:pt>
                <c:pt idx="249">
                  <c:v>6.1654165000089023E-3</c:v>
                </c:pt>
                <c:pt idx="250">
                  <c:v>-4.2785353360574874E-3</c:v>
                </c:pt>
                <c:pt idx="251">
                  <c:v>-4.5169063875245996E-2</c:v>
                </c:pt>
                <c:pt idx="252">
                  <c:v>-5.294618884469493E-2</c:v>
                </c:pt>
                <c:pt idx="253">
                  <c:v>2.7348057057627884E-3</c:v>
                </c:pt>
                <c:pt idx="254">
                  <c:v>3.8520285493586215E-2</c:v>
                </c:pt>
                <c:pt idx="255">
                  <c:v>-2.4168684179851851E-2</c:v>
                </c:pt>
                <c:pt idx="256">
                  <c:v>-4.2909490687415897E-2</c:v>
                </c:pt>
                <c:pt idx="257">
                  <c:v>6.076019202231997E-3</c:v>
                </c:pt>
                <c:pt idx="258">
                  <c:v>1.6018406368206506E-2</c:v>
                </c:pt>
                <c:pt idx="259">
                  <c:v>-2.9552438690920724E-2</c:v>
                </c:pt>
                <c:pt idx="260">
                  <c:v>-1.2347068836277231E-2</c:v>
                </c:pt>
                <c:pt idx="261">
                  <c:v>4.1359241886939735E-2</c:v>
                </c:pt>
                <c:pt idx="262">
                  <c:v>4.4387425592616658E-2</c:v>
                </c:pt>
                <c:pt idx="263">
                  <c:v>-5.4489645522002306E-3</c:v>
                </c:pt>
                <c:pt idx="264">
                  <c:v>3.5526778627597011E-3</c:v>
                </c:pt>
                <c:pt idx="265">
                  <c:v>4.7860735263577148E-2</c:v>
                </c:pt>
                <c:pt idx="266">
                  <c:v>4.442513291968897E-2</c:v>
                </c:pt>
                <c:pt idx="267">
                  <c:v>2.4302886531257784E-2</c:v>
                </c:pt>
                <c:pt idx="268">
                  <c:v>-4.4959737922710019E-2</c:v>
                </c:pt>
                <c:pt idx="269">
                  <c:v>4.0530215589111407E-2</c:v>
                </c:pt>
                <c:pt idx="270">
                  <c:v>3.433119955183539E-2</c:v>
                </c:pt>
                <c:pt idx="271">
                  <c:v>-3.2919212950527132E-2</c:v>
                </c:pt>
                <c:pt idx="272">
                  <c:v>-3.8467190166408649E-2</c:v>
                </c:pt>
                <c:pt idx="273">
                  <c:v>8.1038211518880132E-3</c:v>
                </c:pt>
                <c:pt idx="274">
                  <c:v>2.605798467559417E-2</c:v>
                </c:pt>
                <c:pt idx="275">
                  <c:v>-4.2306430665762562E-2</c:v>
                </c:pt>
                <c:pt idx="276">
                  <c:v>-6.0824039706909971E-2</c:v>
                </c:pt>
                <c:pt idx="277">
                  <c:v>3.3148678395651388E-2</c:v>
                </c:pt>
                <c:pt idx="278">
                  <c:v>3.6084458263498043E-2</c:v>
                </c:pt>
                <c:pt idx="279">
                  <c:v>-4.4814861267642669E-2</c:v>
                </c:pt>
                <c:pt idx="280">
                  <c:v>-4.7410966617266403E-2</c:v>
                </c:pt>
                <c:pt idx="281">
                  <c:v>8.4146671254359262E-4</c:v>
                </c:pt>
                <c:pt idx="282">
                  <c:v>3.6862990988240085E-2</c:v>
                </c:pt>
                <c:pt idx="283">
                  <c:v>1.0622307318242541E-2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2-4A01-B0AC-D0591B04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329408"/>
        <c:axId val="527328576"/>
      </c:lineChart>
      <c:dateAx>
        <c:axId val="52732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8576"/>
        <c:crosses val="autoZero"/>
        <c:auto val="1"/>
        <c:lblOffset val="100"/>
        <c:baseTimeUnit val="months"/>
        <c:majorUnit val="5"/>
        <c:majorTimeUnit val="years"/>
      </c:dateAx>
      <c:valAx>
        <c:axId val="5273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Expenditure</a:t>
            </a:r>
            <a:r>
              <a:rPr lang="en-US" baseline="0"/>
              <a:t> with its Cyclical Component: Log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Data150!$O$1</c:f>
              <c:strCache>
                <c:ptCount val="1"/>
                <c:pt idx="0">
                  <c:v>Cycle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Data150!$C$4:$C$283</c:f>
              <c:numCache>
                <c:formatCode>m/d/yyyy</c:formatCode>
                <c:ptCount val="280"/>
                <c:pt idx="0">
                  <c:v>18490</c:v>
                </c:pt>
                <c:pt idx="1">
                  <c:v>18582</c:v>
                </c:pt>
                <c:pt idx="2">
                  <c:v>18674</c:v>
                </c:pt>
                <c:pt idx="3">
                  <c:v>18763</c:v>
                </c:pt>
                <c:pt idx="4">
                  <c:v>18855</c:v>
                </c:pt>
                <c:pt idx="5">
                  <c:v>18947</c:v>
                </c:pt>
                <c:pt idx="6">
                  <c:v>19039</c:v>
                </c:pt>
                <c:pt idx="7">
                  <c:v>19129</c:v>
                </c:pt>
                <c:pt idx="8">
                  <c:v>19221</c:v>
                </c:pt>
                <c:pt idx="9">
                  <c:v>19313</c:v>
                </c:pt>
                <c:pt idx="10">
                  <c:v>19405</c:v>
                </c:pt>
                <c:pt idx="11">
                  <c:v>19494</c:v>
                </c:pt>
                <c:pt idx="12">
                  <c:v>19586</c:v>
                </c:pt>
                <c:pt idx="13">
                  <c:v>19678</c:v>
                </c:pt>
                <c:pt idx="14">
                  <c:v>19770</c:v>
                </c:pt>
                <c:pt idx="15">
                  <c:v>19859</c:v>
                </c:pt>
                <c:pt idx="16">
                  <c:v>19951</c:v>
                </c:pt>
                <c:pt idx="17">
                  <c:v>20043</c:v>
                </c:pt>
                <c:pt idx="18">
                  <c:v>20135</c:v>
                </c:pt>
                <c:pt idx="19">
                  <c:v>20224</c:v>
                </c:pt>
                <c:pt idx="20">
                  <c:v>20316</c:v>
                </c:pt>
                <c:pt idx="21">
                  <c:v>20408</c:v>
                </c:pt>
                <c:pt idx="22">
                  <c:v>20500</c:v>
                </c:pt>
                <c:pt idx="23">
                  <c:v>20590</c:v>
                </c:pt>
                <c:pt idx="24">
                  <c:v>20682</c:v>
                </c:pt>
                <c:pt idx="25">
                  <c:v>20774</c:v>
                </c:pt>
                <c:pt idx="26">
                  <c:v>20866</c:v>
                </c:pt>
                <c:pt idx="27">
                  <c:v>20955</c:v>
                </c:pt>
                <c:pt idx="28">
                  <c:v>21047</c:v>
                </c:pt>
                <c:pt idx="29">
                  <c:v>21139</c:v>
                </c:pt>
                <c:pt idx="30">
                  <c:v>21231</c:v>
                </c:pt>
                <c:pt idx="31">
                  <c:v>21320</c:v>
                </c:pt>
                <c:pt idx="32">
                  <c:v>21412</c:v>
                </c:pt>
                <c:pt idx="33">
                  <c:v>21504</c:v>
                </c:pt>
                <c:pt idx="34">
                  <c:v>21596</c:v>
                </c:pt>
                <c:pt idx="35">
                  <c:v>21685</c:v>
                </c:pt>
                <c:pt idx="36">
                  <c:v>21777</c:v>
                </c:pt>
                <c:pt idx="37">
                  <c:v>21869</c:v>
                </c:pt>
                <c:pt idx="38">
                  <c:v>21961</c:v>
                </c:pt>
                <c:pt idx="39">
                  <c:v>22051</c:v>
                </c:pt>
                <c:pt idx="40">
                  <c:v>22143</c:v>
                </c:pt>
                <c:pt idx="41">
                  <c:v>22235</c:v>
                </c:pt>
                <c:pt idx="42">
                  <c:v>22327</c:v>
                </c:pt>
                <c:pt idx="43">
                  <c:v>22416</c:v>
                </c:pt>
                <c:pt idx="44">
                  <c:v>22508</c:v>
                </c:pt>
                <c:pt idx="45">
                  <c:v>22600</c:v>
                </c:pt>
                <c:pt idx="46">
                  <c:v>22692</c:v>
                </c:pt>
                <c:pt idx="47">
                  <c:v>22781</c:v>
                </c:pt>
                <c:pt idx="48">
                  <c:v>22873</c:v>
                </c:pt>
                <c:pt idx="49">
                  <c:v>22965</c:v>
                </c:pt>
                <c:pt idx="50">
                  <c:v>23057</c:v>
                </c:pt>
                <c:pt idx="51">
                  <c:v>23146</c:v>
                </c:pt>
                <c:pt idx="52">
                  <c:v>23238</c:v>
                </c:pt>
                <c:pt idx="53">
                  <c:v>23330</c:v>
                </c:pt>
                <c:pt idx="54">
                  <c:v>23422</c:v>
                </c:pt>
                <c:pt idx="55">
                  <c:v>23512</c:v>
                </c:pt>
                <c:pt idx="56">
                  <c:v>23604</c:v>
                </c:pt>
                <c:pt idx="57">
                  <c:v>23696</c:v>
                </c:pt>
                <c:pt idx="58">
                  <c:v>23788</c:v>
                </c:pt>
                <c:pt idx="59">
                  <c:v>23877</c:v>
                </c:pt>
                <c:pt idx="60">
                  <c:v>23969</c:v>
                </c:pt>
                <c:pt idx="61">
                  <c:v>24061</c:v>
                </c:pt>
                <c:pt idx="62">
                  <c:v>24153</c:v>
                </c:pt>
                <c:pt idx="63">
                  <c:v>24242</c:v>
                </c:pt>
                <c:pt idx="64">
                  <c:v>24334</c:v>
                </c:pt>
                <c:pt idx="65">
                  <c:v>24426</c:v>
                </c:pt>
                <c:pt idx="66">
                  <c:v>24518</c:v>
                </c:pt>
                <c:pt idx="67">
                  <c:v>24607</c:v>
                </c:pt>
                <c:pt idx="68">
                  <c:v>24699</c:v>
                </c:pt>
                <c:pt idx="69">
                  <c:v>24791</c:v>
                </c:pt>
                <c:pt idx="70">
                  <c:v>24883</c:v>
                </c:pt>
                <c:pt idx="71">
                  <c:v>24973</c:v>
                </c:pt>
                <c:pt idx="72">
                  <c:v>25065</c:v>
                </c:pt>
                <c:pt idx="73">
                  <c:v>25157</c:v>
                </c:pt>
                <c:pt idx="74">
                  <c:v>25249</c:v>
                </c:pt>
                <c:pt idx="75">
                  <c:v>25338</c:v>
                </c:pt>
                <c:pt idx="76">
                  <c:v>25430</c:v>
                </c:pt>
                <c:pt idx="77">
                  <c:v>25522</c:v>
                </c:pt>
                <c:pt idx="78">
                  <c:v>25614</c:v>
                </c:pt>
                <c:pt idx="79">
                  <c:v>25703</c:v>
                </c:pt>
                <c:pt idx="80">
                  <c:v>25795</c:v>
                </c:pt>
                <c:pt idx="81">
                  <c:v>25887</c:v>
                </c:pt>
                <c:pt idx="82">
                  <c:v>25979</c:v>
                </c:pt>
                <c:pt idx="83">
                  <c:v>26068</c:v>
                </c:pt>
                <c:pt idx="84">
                  <c:v>26160</c:v>
                </c:pt>
                <c:pt idx="85">
                  <c:v>26252</c:v>
                </c:pt>
                <c:pt idx="86">
                  <c:v>26344</c:v>
                </c:pt>
                <c:pt idx="87">
                  <c:v>26434</c:v>
                </c:pt>
                <c:pt idx="88">
                  <c:v>26526</c:v>
                </c:pt>
                <c:pt idx="89">
                  <c:v>26618</c:v>
                </c:pt>
                <c:pt idx="90">
                  <c:v>26710</c:v>
                </c:pt>
                <c:pt idx="91">
                  <c:v>26799</c:v>
                </c:pt>
                <c:pt idx="92">
                  <c:v>26891</c:v>
                </c:pt>
                <c:pt idx="93">
                  <c:v>26983</c:v>
                </c:pt>
                <c:pt idx="94">
                  <c:v>27075</c:v>
                </c:pt>
                <c:pt idx="95">
                  <c:v>27164</c:v>
                </c:pt>
                <c:pt idx="96">
                  <c:v>27256</c:v>
                </c:pt>
                <c:pt idx="97">
                  <c:v>27348</c:v>
                </c:pt>
                <c:pt idx="98">
                  <c:v>27440</c:v>
                </c:pt>
                <c:pt idx="99">
                  <c:v>27529</c:v>
                </c:pt>
                <c:pt idx="100">
                  <c:v>27621</c:v>
                </c:pt>
                <c:pt idx="101">
                  <c:v>27713</c:v>
                </c:pt>
                <c:pt idx="102">
                  <c:v>27805</c:v>
                </c:pt>
                <c:pt idx="103">
                  <c:v>27895</c:v>
                </c:pt>
                <c:pt idx="104">
                  <c:v>27987</c:v>
                </c:pt>
                <c:pt idx="105">
                  <c:v>28079</c:v>
                </c:pt>
                <c:pt idx="106">
                  <c:v>28171</c:v>
                </c:pt>
                <c:pt idx="107">
                  <c:v>28260</c:v>
                </c:pt>
                <c:pt idx="108">
                  <c:v>28352</c:v>
                </c:pt>
                <c:pt idx="109">
                  <c:v>28444</c:v>
                </c:pt>
                <c:pt idx="110">
                  <c:v>28536</c:v>
                </c:pt>
                <c:pt idx="111">
                  <c:v>28625</c:v>
                </c:pt>
                <c:pt idx="112">
                  <c:v>28717</c:v>
                </c:pt>
                <c:pt idx="113">
                  <c:v>28809</c:v>
                </c:pt>
                <c:pt idx="114">
                  <c:v>28901</c:v>
                </c:pt>
                <c:pt idx="115">
                  <c:v>28990</c:v>
                </c:pt>
                <c:pt idx="116">
                  <c:v>29082</c:v>
                </c:pt>
                <c:pt idx="117">
                  <c:v>29174</c:v>
                </c:pt>
                <c:pt idx="118">
                  <c:v>29266</c:v>
                </c:pt>
                <c:pt idx="119">
                  <c:v>29356</c:v>
                </c:pt>
                <c:pt idx="120">
                  <c:v>29448</c:v>
                </c:pt>
                <c:pt idx="121">
                  <c:v>29540</c:v>
                </c:pt>
                <c:pt idx="122">
                  <c:v>29632</c:v>
                </c:pt>
                <c:pt idx="123">
                  <c:v>29721</c:v>
                </c:pt>
                <c:pt idx="124">
                  <c:v>29813</c:v>
                </c:pt>
                <c:pt idx="125">
                  <c:v>29905</c:v>
                </c:pt>
                <c:pt idx="126">
                  <c:v>29997</c:v>
                </c:pt>
                <c:pt idx="127">
                  <c:v>30086</c:v>
                </c:pt>
                <c:pt idx="128">
                  <c:v>30178</c:v>
                </c:pt>
                <c:pt idx="129">
                  <c:v>30270</c:v>
                </c:pt>
                <c:pt idx="130">
                  <c:v>30362</c:v>
                </c:pt>
                <c:pt idx="131">
                  <c:v>30451</c:v>
                </c:pt>
                <c:pt idx="132">
                  <c:v>30543</c:v>
                </c:pt>
                <c:pt idx="133">
                  <c:v>30635</c:v>
                </c:pt>
                <c:pt idx="134">
                  <c:v>30727</c:v>
                </c:pt>
                <c:pt idx="135">
                  <c:v>30817</c:v>
                </c:pt>
                <c:pt idx="136">
                  <c:v>30909</c:v>
                </c:pt>
                <c:pt idx="137">
                  <c:v>31001</c:v>
                </c:pt>
                <c:pt idx="138">
                  <c:v>31093</c:v>
                </c:pt>
                <c:pt idx="139">
                  <c:v>31182</c:v>
                </c:pt>
                <c:pt idx="140">
                  <c:v>31274</c:v>
                </c:pt>
                <c:pt idx="141">
                  <c:v>31366</c:v>
                </c:pt>
                <c:pt idx="142">
                  <c:v>31458</c:v>
                </c:pt>
                <c:pt idx="143">
                  <c:v>31547</c:v>
                </c:pt>
                <c:pt idx="144">
                  <c:v>31639</c:v>
                </c:pt>
                <c:pt idx="145">
                  <c:v>31731</c:v>
                </c:pt>
                <c:pt idx="146">
                  <c:v>31823</c:v>
                </c:pt>
                <c:pt idx="147">
                  <c:v>31912</c:v>
                </c:pt>
                <c:pt idx="148">
                  <c:v>32004</c:v>
                </c:pt>
                <c:pt idx="149">
                  <c:v>32096</c:v>
                </c:pt>
                <c:pt idx="150">
                  <c:v>32188</c:v>
                </c:pt>
                <c:pt idx="151">
                  <c:v>32278</c:v>
                </c:pt>
                <c:pt idx="152">
                  <c:v>32370</c:v>
                </c:pt>
                <c:pt idx="153">
                  <c:v>32462</c:v>
                </c:pt>
                <c:pt idx="154">
                  <c:v>32554</c:v>
                </c:pt>
                <c:pt idx="155">
                  <c:v>32643</c:v>
                </c:pt>
                <c:pt idx="156">
                  <c:v>32735</c:v>
                </c:pt>
                <c:pt idx="157">
                  <c:v>32827</c:v>
                </c:pt>
                <c:pt idx="158">
                  <c:v>32919</c:v>
                </c:pt>
                <c:pt idx="159">
                  <c:v>33008</c:v>
                </c:pt>
                <c:pt idx="160">
                  <c:v>33100</c:v>
                </c:pt>
                <c:pt idx="161">
                  <c:v>33192</c:v>
                </c:pt>
                <c:pt idx="162">
                  <c:v>33284</c:v>
                </c:pt>
                <c:pt idx="163">
                  <c:v>33373</c:v>
                </c:pt>
                <c:pt idx="164">
                  <c:v>33465</c:v>
                </c:pt>
                <c:pt idx="165">
                  <c:v>33557</c:v>
                </c:pt>
                <c:pt idx="166">
                  <c:v>33649</c:v>
                </c:pt>
                <c:pt idx="167">
                  <c:v>33739</c:v>
                </c:pt>
                <c:pt idx="168">
                  <c:v>33831</c:v>
                </c:pt>
                <c:pt idx="169">
                  <c:v>33923</c:v>
                </c:pt>
                <c:pt idx="170">
                  <c:v>34015</c:v>
                </c:pt>
                <c:pt idx="171">
                  <c:v>34104</c:v>
                </c:pt>
                <c:pt idx="172">
                  <c:v>34196</c:v>
                </c:pt>
                <c:pt idx="173">
                  <c:v>34288</c:v>
                </c:pt>
                <c:pt idx="174">
                  <c:v>34380</c:v>
                </c:pt>
                <c:pt idx="175">
                  <c:v>34469</c:v>
                </c:pt>
                <c:pt idx="176">
                  <c:v>34561</c:v>
                </c:pt>
                <c:pt idx="177">
                  <c:v>34653</c:v>
                </c:pt>
                <c:pt idx="178">
                  <c:v>34745</c:v>
                </c:pt>
                <c:pt idx="179">
                  <c:v>34834</c:v>
                </c:pt>
                <c:pt idx="180">
                  <c:v>34926</c:v>
                </c:pt>
                <c:pt idx="181">
                  <c:v>35018</c:v>
                </c:pt>
                <c:pt idx="182">
                  <c:v>35110</c:v>
                </c:pt>
                <c:pt idx="183">
                  <c:v>35200</c:v>
                </c:pt>
                <c:pt idx="184">
                  <c:v>35292</c:v>
                </c:pt>
                <c:pt idx="185">
                  <c:v>35384</c:v>
                </c:pt>
                <c:pt idx="186">
                  <c:v>35476</c:v>
                </c:pt>
                <c:pt idx="187">
                  <c:v>35565</c:v>
                </c:pt>
                <c:pt idx="188">
                  <c:v>35657</c:v>
                </c:pt>
                <c:pt idx="189">
                  <c:v>35749</c:v>
                </c:pt>
                <c:pt idx="190">
                  <c:v>35841</c:v>
                </c:pt>
                <c:pt idx="191">
                  <c:v>35930</c:v>
                </c:pt>
                <c:pt idx="192">
                  <c:v>36022</c:v>
                </c:pt>
                <c:pt idx="193">
                  <c:v>36114</c:v>
                </c:pt>
                <c:pt idx="194">
                  <c:v>36206</c:v>
                </c:pt>
                <c:pt idx="195">
                  <c:v>36295</c:v>
                </c:pt>
                <c:pt idx="196">
                  <c:v>36387</c:v>
                </c:pt>
                <c:pt idx="197">
                  <c:v>36479</c:v>
                </c:pt>
                <c:pt idx="198">
                  <c:v>36571</c:v>
                </c:pt>
                <c:pt idx="199">
                  <c:v>36661</c:v>
                </c:pt>
                <c:pt idx="200">
                  <c:v>36753</c:v>
                </c:pt>
                <c:pt idx="201">
                  <c:v>36845</c:v>
                </c:pt>
                <c:pt idx="202">
                  <c:v>36937</c:v>
                </c:pt>
                <c:pt idx="203">
                  <c:v>37026</c:v>
                </c:pt>
                <c:pt idx="204">
                  <c:v>37118</c:v>
                </c:pt>
                <c:pt idx="205">
                  <c:v>37210</c:v>
                </c:pt>
                <c:pt idx="206">
                  <c:v>37302</c:v>
                </c:pt>
                <c:pt idx="207">
                  <c:v>37391</c:v>
                </c:pt>
                <c:pt idx="208">
                  <c:v>37483</c:v>
                </c:pt>
                <c:pt idx="209">
                  <c:v>37575</c:v>
                </c:pt>
                <c:pt idx="210">
                  <c:v>37667</c:v>
                </c:pt>
                <c:pt idx="211">
                  <c:v>37756</c:v>
                </c:pt>
                <c:pt idx="212">
                  <c:v>37848</c:v>
                </c:pt>
                <c:pt idx="213">
                  <c:v>37940</c:v>
                </c:pt>
                <c:pt idx="214">
                  <c:v>38032</c:v>
                </c:pt>
                <c:pt idx="215">
                  <c:v>38122</c:v>
                </c:pt>
                <c:pt idx="216">
                  <c:v>38214</c:v>
                </c:pt>
                <c:pt idx="217">
                  <c:v>38306</c:v>
                </c:pt>
                <c:pt idx="218">
                  <c:v>38398</c:v>
                </c:pt>
                <c:pt idx="219">
                  <c:v>38487</c:v>
                </c:pt>
                <c:pt idx="220">
                  <c:v>38579</c:v>
                </c:pt>
                <c:pt idx="221">
                  <c:v>38671</c:v>
                </c:pt>
                <c:pt idx="222">
                  <c:v>38763</c:v>
                </c:pt>
                <c:pt idx="223">
                  <c:v>38852</c:v>
                </c:pt>
                <c:pt idx="224">
                  <c:v>38944</c:v>
                </c:pt>
                <c:pt idx="225">
                  <c:v>39036</c:v>
                </c:pt>
                <c:pt idx="226">
                  <c:v>39128</c:v>
                </c:pt>
                <c:pt idx="227">
                  <c:v>39217</c:v>
                </c:pt>
                <c:pt idx="228">
                  <c:v>39309</c:v>
                </c:pt>
                <c:pt idx="229">
                  <c:v>39401</c:v>
                </c:pt>
                <c:pt idx="230">
                  <c:v>39493</c:v>
                </c:pt>
                <c:pt idx="231">
                  <c:v>39583</c:v>
                </c:pt>
                <c:pt idx="232">
                  <c:v>39675</c:v>
                </c:pt>
                <c:pt idx="233">
                  <c:v>39767</c:v>
                </c:pt>
                <c:pt idx="234">
                  <c:v>39859</c:v>
                </c:pt>
                <c:pt idx="235">
                  <c:v>39948</c:v>
                </c:pt>
                <c:pt idx="236">
                  <c:v>40040</c:v>
                </c:pt>
                <c:pt idx="237">
                  <c:v>40132</c:v>
                </c:pt>
                <c:pt idx="238">
                  <c:v>40224</c:v>
                </c:pt>
                <c:pt idx="239">
                  <c:v>40313</c:v>
                </c:pt>
                <c:pt idx="240">
                  <c:v>40405</c:v>
                </c:pt>
                <c:pt idx="241">
                  <c:v>40497</c:v>
                </c:pt>
                <c:pt idx="242">
                  <c:v>40589</c:v>
                </c:pt>
                <c:pt idx="243">
                  <c:v>40678</c:v>
                </c:pt>
                <c:pt idx="244">
                  <c:v>40770</c:v>
                </c:pt>
                <c:pt idx="245">
                  <c:v>40862</c:v>
                </c:pt>
                <c:pt idx="246">
                  <c:v>40954</c:v>
                </c:pt>
                <c:pt idx="247">
                  <c:v>41044</c:v>
                </c:pt>
                <c:pt idx="248">
                  <c:v>41136</c:v>
                </c:pt>
                <c:pt idx="249">
                  <c:v>41228</c:v>
                </c:pt>
                <c:pt idx="250">
                  <c:v>41320</c:v>
                </c:pt>
                <c:pt idx="251">
                  <c:v>41409</c:v>
                </c:pt>
                <c:pt idx="252">
                  <c:v>41501</c:v>
                </c:pt>
                <c:pt idx="253">
                  <c:v>41593</c:v>
                </c:pt>
                <c:pt idx="254">
                  <c:v>41685</c:v>
                </c:pt>
                <c:pt idx="255">
                  <c:v>41774</c:v>
                </c:pt>
                <c:pt idx="256">
                  <c:v>41866</c:v>
                </c:pt>
                <c:pt idx="257">
                  <c:v>41958</c:v>
                </c:pt>
                <c:pt idx="258">
                  <c:v>42050</c:v>
                </c:pt>
                <c:pt idx="259">
                  <c:v>42139</c:v>
                </c:pt>
                <c:pt idx="260">
                  <c:v>42231</c:v>
                </c:pt>
                <c:pt idx="261">
                  <c:v>42323</c:v>
                </c:pt>
                <c:pt idx="262">
                  <c:v>42415</c:v>
                </c:pt>
                <c:pt idx="263">
                  <c:v>42505</c:v>
                </c:pt>
                <c:pt idx="264">
                  <c:v>42597</c:v>
                </c:pt>
                <c:pt idx="265">
                  <c:v>42689</c:v>
                </c:pt>
                <c:pt idx="266">
                  <c:v>42781</c:v>
                </c:pt>
                <c:pt idx="267">
                  <c:v>42870</c:v>
                </c:pt>
                <c:pt idx="268">
                  <c:v>42962</c:v>
                </c:pt>
                <c:pt idx="269">
                  <c:v>43054</c:v>
                </c:pt>
                <c:pt idx="270">
                  <c:v>43146</c:v>
                </c:pt>
                <c:pt idx="271">
                  <c:v>43235</c:v>
                </c:pt>
                <c:pt idx="272">
                  <c:v>43327</c:v>
                </c:pt>
                <c:pt idx="273">
                  <c:v>43419</c:v>
                </c:pt>
                <c:pt idx="274">
                  <c:v>43511</c:v>
                </c:pt>
                <c:pt idx="275">
                  <c:v>43600</c:v>
                </c:pt>
                <c:pt idx="276">
                  <c:v>43692</c:v>
                </c:pt>
                <c:pt idx="277">
                  <c:v>43784</c:v>
                </c:pt>
                <c:pt idx="278">
                  <c:v>43876</c:v>
                </c:pt>
                <c:pt idx="279">
                  <c:v>43966</c:v>
                </c:pt>
              </c:numCache>
            </c:numRef>
          </c:cat>
          <c:val>
            <c:numRef>
              <c:f>Data150!$O$4:$O$283</c:f>
              <c:numCache>
                <c:formatCode>0.000</c:formatCode>
                <c:ptCount val="280"/>
                <c:pt idx="0">
                  <c:v>-2.1083833293868003E-2</c:v>
                </c:pt>
                <c:pt idx="1">
                  <c:v>-1.500689070939174E-2</c:v>
                </c:pt>
                <c:pt idx="2">
                  <c:v>-1.0699122716114928E-2</c:v>
                </c:pt>
                <c:pt idx="3">
                  <c:v>-1.9528078927305969E-2</c:v>
                </c:pt>
                <c:pt idx="4">
                  <c:v>-9.8951105973290147E-3</c:v>
                </c:pt>
                <c:pt idx="5">
                  <c:v>7.0975019404283298E-3</c:v>
                </c:pt>
                <c:pt idx="6">
                  <c:v>4.332307494917309E-3</c:v>
                </c:pt>
                <c:pt idx="7">
                  <c:v>-5.3988869056926349E-3</c:v>
                </c:pt>
                <c:pt idx="8">
                  <c:v>-1.0920096788833433E-2</c:v>
                </c:pt>
                <c:pt idx="9">
                  <c:v>-8.4080824755924152E-3</c:v>
                </c:pt>
                <c:pt idx="10">
                  <c:v>-1.0651630213144258E-2</c:v>
                </c:pt>
                <c:pt idx="11">
                  <c:v>-2.5934140038914321E-2</c:v>
                </c:pt>
                <c:pt idx="12">
                  <c:v>-2.3852206309716451E-2</c:v>
                </c:pt>
                <c:pt idx="13">
                  <c:v>-3.5939350950258131E-3</c:v>
                </c:pt>
                <c:pt idx="14">
                  <c:v>-6.9505358561874784E-3</c:v>
                </c:pt>
                <c:pt idx="15">
                  <c:v>-1.7237015290305812E-2</c:v>
                </c:pt>
                <c:pt idx="16">
                  <c:v>-1.0037000815927755E-2</c:v>
                </c:pt>
                <c:pt idx="17">
                  <c:v>4.8712390444023866E-3</c:v>
                </c:pt>
                <c:pt idx="18">
                  <c:v>3.7265371339081808E-3</c:v>
                </c:pt>
                <c:pt idx="19">
                  <c:v>1.4736425612889904E-3</c:v>
                </c:pt>
                <c:pt idx="20">
                  <c:v>9.3745051712996737E-4</c:v>
                </c:pt>
                <c:pt idx="21">
                  <c:v>7.5084702598118723E-3</c:v>
                </c:pt>
                <c:pt idx="22">
                  <c:v>1.0559227276275784E-2</c:v>
                </c:pt>
                <c:pt idx="23">
                  <c:v>-4.0094743649028431E-4</c:v>
                </c:pt>
                <c:pt idx="24">
                  <c:v>-7.5151937063829164E-3</c:v>
                </c:pt>
                <c:pt idx="25">
                  <c:v>1.0765298965936232E-2</c:v>
                </c:pt>
                <c:pt idx="26">
                  <c:v>2.0374303275921511E-2</c:v>
                </c:pt>
                <c:pt idx="27">
                  <c:v>5.2502846626641285E-3</c:v>
                </c:pt>
                <c:pt idx="28">
                  <c:v>-6.4861536423171271E-3</c:v>
                </c:pt>
                <c:pt idx="29">
                  <c:v>1.3455016297847244E-2</c:v>
                </c:pt>
                <c:pt idx="30">
                  <c:v>1.2562201824672315E-2</c:v>
                </c:pt>
                <c:pt idx="31">
                  <c:v>-1.5115341546938054E-3</c:v>
                </c:pt>
                <c:pt idx="32">
                  <c:v>3.7681226831587367E-4</c:v>
                </c:pt>
                <c:pt idx="33">
                  <c:v>2.5623471366113294E-2</c:v>
                </c:pt>
                <c:pt idx="34">
                  <c:v>2.5236114413849719E-2</c:v>
                </c:pt>
                <c:pt idx="35">
                  <c:v>1.7928931312964736E-2</c:v>
                </c:pt>
                <c:pt idx="36">
                  <c:v>9.5826420588783993E-3</c:v>
                </c:pt>
                <c:pt idx="37">
                  <c:v>1.5674344810494567E-2</c:v>
                </c:pt>
                <c:pt idx="38">
                  <c:v>1.2437639569995084E-2</c:v>
                </c:pt>
                <c:pt idx="39">
                  <c:v>-7.6646900809775433E-3</c:v>
                </c:pt>
                <c:pt idx="40">
                  <c:v>-1.1825265866584899E-2</c:v>
                </c:pt>
                <c:pt idx="41">
                  <c:v>3.7484796304211089E-3</c:v>
                </c:pt>
                <c:pt idx="42">
                  <c:v>2.8449481512623719E-3</c:v>
                </c:pt>
                <c:pt idx="43">
                  <c:v>-9.5290333478860838E-3</c:v>
                </c:pt>
                <c:pt idx="44">
                  <c:v>-5.9181517688834621E-3</c:v>
                </c:pt>
                <c:pt idx="45">
                  <c:v>6.9794030430903927E-3</c:v>
                </c:pt>
                <c:pt idx="46">
                  <c:v>3.4658030826891562E-3</c:v>
                </c:pt>
                <c:pt idx="47">
                  <c:v>-6.285696028348298E-3</c:v>
                </c:pt>
                <c:pt idx="48">
                  <c:v>-1.2439371873834659E-2</c:v>
                </c:pt>
                <c:pt idx="49">
                  <c:v>1.2034734744712061E-2</c:v>
                </c:pt>
                <c:pt idx="50">
                  <c:v>1.4654574090739914E-2</c:v>
                </c:pt>
                <c:pt idx="51">
                  <c:v>6.8426885816105457E-3</c:v>
                </c:pt>
                <c:pt idx="52">
                  <c:v>7.8557447807595434E-3</c:v>
                </c:pt>
                <c:pt idx="53">
                  <c:v>3.0472706766749801E-2</c:v>
                </c:pt>
                <c:pt idx="54">
                  <c:v>1.8301074688134199E-2</c:v>
                </c:pt>
                <c:pt idx="55">
                  <c:v>6.6428553376631785E-4</c:v>
                </c:pt>
                <c:pt idx="56">
                  <c:v>-7.7644506409093597E-4</c:v>
                </c:pt>
                <c:pt idx="57">
                  <c:v>1.5387196443439066E-2</c:v>
                </c:pt>
                <c:pt idx="58">
                  <c:v>1.444242382201626E-2</c:v>
                </c:pt>
                <c:pt idx="59">
                  <c:v>1.3255607178478356E-2</c:v>
                </c:pt>
                <c:pt idx="60">
                  <c:v>1.5050704328763232E-2</c:v>
                </c:pt>
                <c:pt idx="61">
                  <c:v>3.6531920847962772E-2</c:v>
                </c:pt>
                <c:pt idx="62">
                  <c:v>4.0947751413425416E-2</c:v>
                </c:pt>
                <c:pt idx="63">
                  <c:v>2.3472332762664295E-2</c:v>
                </c:pt>
                <c:pt idx="64">
                  <c:v>1.2318560291782887E-2</c:v>
                </c:pt>
                <c:pt idx="65">
                  <c:v>2.5826251920406662E-2</c:v>
                </c:pt>
                <c:pt idx="66">
                  <c:v>2.4377747732916077E-2</c:v>
                </c:pt>
                <c:pt idx="67">
                  <c:v>4.5391843438485676E-3</c:v>
                </c:pt>
                <c:pt idx="68">
                  <c:v>4.4305120897764286E-3</c:v>
                </c:pt>
                <c:pt idx="69">
                  <c:v>1.3708212415259524E-2</c:v>
                </c:pt>
                <c:pt idx="70">
                  <c:v>2.8460899377373396E-3</c:v>
                </c:pt>
                <c:pt idx="71">
                  <c:v>-1.620558844332063E-2</c:v>
                </c:pt>
                <c:pt idx="72">
                  <c:v>-1.6868762340728337E-2</c:v>
                </c:pt>
                <c:pt idx="73">
                  <c:v>-6.3866113864301964E-3</c:v>
                </c:pt>
                <c:pt idx="74">
                  <c:v>2.3408767020878683E-3</c:v>
                </c:pt>
                <c:pt idx="75">
                  <c:v>-3.5914399927799321E-3</c:v>
                </c:pt>
                <c:pt idx="76">
                  <c:v>-9.0292693014889739E-3</c:v>
                </c:pt>
                <c:pt idx="77">
                  <c:v>-1.7445730790452529E-3</c:v>
                </c:pt>
                <c:pt idx="78">
                  <c:v>3.4855240669639186E-3</c:v>
                </c:pt>
                <c:pt idx="79">
                  <c:v>-9.6898313170955316E-3</c:v>
                </c:pt>
                <c:pt idx="80">
                  <c:v>-1.8196017911963302E-2</c:v>
                </c:pt>
                <c:pt idx="81">
                  <c:v>-1.2288352041048612E-3</c:v>
                </c:pt>
                <c:pt idx="82">
                  <c:v>1.788021843686849E-3</c:v>
                </c:pt>
                <c:pt idx="83">
                  <c:v>-1.6699845735074346E-2</c:v>
                </c:pt>
                <c:pt idx="84">
                  <c:v>-3.0335411180722895E-2</c:v>
                </c:pt>
                <c:pt idx="85">
                  <c:v>-8.1501451666300181E-3</c:v>
                </c:pt>
                <c:pt idx="86">
                  <c:v>-4.7830437575200335E-3</c:v>
                </c:pt>
                <c:pt idx="87">
                  <c:v>-1.8418927627493708E-2</c:v>
                </c:pt>
                <c:pt idx="88">
                  <c:v>-2.174997028720398E-2</c:v>
                </c:pt>
                <c:pt idx="89">
                  <c:v>6.7346059601440804E-4</c:v>
                </c:pt>
                <c:pt idx="90">
                  <c:v>5.9539277197753647E-3</c:v>
                </c:pt>
                <c:pt idx="91">
                  <c:v>-1.1661820820728152E-2</c:v>
                </c:pt>
                <c:pt idx="92">
                  <c:v>-1.5233052419082859E-2</c:v>
                </c:pt>
                <c:pt idx="93">
                  <c:v>-8.8275122516170874E-3</c:v>
                </c:pt>
                <c:pt idx="94">
                  <c:v>-1.8200044944847171E-2</c:v>
                </c:pt>
                <c:pt idx="95">
                  <c:v>-3.5956286625786579E-2</c:v>
                </c:pt>
                <c:pt idx="96">
                  <c:v>-3.7946246586995788E-2</c:v>
                </c:pt>
                <c:pt idx="97">
                  <c:v>-2.0044819118087531E-2</c:v>
                </c:pt>
                <c:pt idx="98">
                  <c:v>-4.2661299355225783E-3</c:v>
                </c:pt>
                <c:pt idx="99">
                  <c:v>2.8870518088289997E-3</c:v>
                </c:pt>
                <c:pt idx="100">
                  <c:v>6.4885320708700789E-3</c:v>
                </c:pt>
                <c:pt idx="101">
                  <c:v>2.6628930003849759E-2</c:v>
                </c:pt>
                <c:pt idx="102">
                  <c:v>3.2682742134416819E-2</c:v>
                </c:pt>
                <c:pt idx="103">
                  <c:v>1.6002080291355369E-2</c:v>
                </c:pt>
                <c:pt idx="104">
                  <c:v>1.5680755097307042E-3</c:v>
                </c:pt>
                <c:pt idx="105">
                  <c:v>6.015613843945289E-3</c:v>
                </c:pt>
                <c:pt idx="106">
                  <c:v>-8.9204648198855092E-4</c:v>
                </c:pt>
                <c:pt idx="107">
                  <c:v>-1.3044782208974759E-2</c:v>
                </c:pt>
                <c:pt idx="108">
                  <c:v>-1.2750400666521066E-2</c:v>
                </c:pt>
                <c:pt idx="109">
                  <c:v>4.0532125397625408E-4</c:v>
                </c:pt>
                <c:pt idx="110">
                  <c:v>5.856959975540121E-3</c:v>
                </c:pt>
                <c:pt idx="111">
                  <c:v>-5.1813122241952669E-3</c:v>
                </c:pt>
                <c:pt idx="112">
                  <c:v>-2.5665767180674593E-3</c:v>
                </c:pt>
                <c:pt idx="113">
                  <c:v>7.000918958177671E-3</c:v>
                </c:pt>
                <c:pt idx="114">
                  <c:v>1.0943163320360582E-2</c:v>
                </c:pt>
                <c:pt idx="115">
                  <c:v>-2.404135597704915E-3</c:v>
                </c:pt>
                <c:pt idx="116">
                  <c:v>-4.1426063225278751E-3</c:v>
                </c:pt>
                <c:pt idx="117">
                  <c:v>4.3771492736727428E-3</c:v>
                </c:pt>
                <c:pt idx="118">
                  <c:v>1.9301367555630833E-3</c:v>
                </c:pt>
                <c:pt idx="119">
                  <c:v>-1.4291632363872963E-2</c:v>
                </c:pt>
                <c:pt idx="120">
                  <c:v>-9.1598044816253218E-3</c:v>
                </c:pt>
                <c:pt idx="121">
                  <c:v>1.1448546521807578E-2</c:v>
                </c:pt>
                <c:pt idx="122">
                  <c:v>3.9652788324877619E-3</c:v>
                </c:pt>
                <c:pt idx="123">
                  <c:v>-1.4064442772783181E-3</c:v>
                </c:pt>
                <c:pt idx="124">
                  <c:v>1.0703184259060806E-3</c:v>
                </c:pt>
                <c:pt idx="125">
                  <c:v>4.3437562947904237E-3</c:v>
                </c:pt>
                <c:pt idx="126">
                  <c:v>-6.8306976028694065E-3</c:v>
                </c:pt>
                <c:pt idx="127">
                  <c:v>-1.5470237207537351E-2</c:v>
                </c:pt>
                <c:pt idx="128">
                  <c:v>-1.9678008121428902E-2</c:v>
                </c:pt>
                <c:pt idx="129">
                  <c:v>-1.3937060204924911E-2</c:v>
                </c:pt>
                <c:pt idx="130">
                  <c:v>-1.100880969626541E-2</c:v>
                </c:pt>
                <c:pt idx="131">
                  <c:v>-1.5361636176611525E-2</c:v>
                </c:pt>
                <c:pt idx="132">
                  <c:v>-1.4931394889248217E-2</c:v>
                </c:pt>
                <c:pt idx="133">
                  <c:v>1.3627945586307533E-3</c:v>
                </c:pt>
                <c:pt idx="134">
                  <c:v>1.1148247217744611E-2</c:v>
                </c:pt>
                <c:pt idx="135">
                  <c:v>5.4550322265875199E-3</c:v>
                </c:pt>
                <c:pt idx="136">
                  <c:v>4.9079092349359147E-3</c:v>
                </c:pt>
                <c:pt idx="137">
                  <c:v>1.5515013129268418E-2</c:v>
                </c:pt>
                <c:pt idx="138">
                  <c:v>1.4690426436711946E-2</c:v>
                </c:pt>
                <c:pt idx="139">
                  <c:v>-6.8197294261816309E-3</c:v>
                </c:pt>
                <c:pt idx="140">
                  <c:v>-6.2192436769782592E-3</c:v>
                </c:pt>
                <c:pt idx="141">
                  <c:v>9.1789850388353852E-3</c:v>
                </c:pt>
                <c:pt idx="142">
                  <c:v>3.0997739549228241E-3</c:v>
                </c:pt>
                <c:pt idx="143">
                  <c:v>-9.5742767833302267E-3</c:v>
                </c:pt>
                <c:pt idx="144">
                  <c:v>-8.379009903562995E-3</c:v>
                </c:pt>
                <c:pt idx="145">
                  <c:v>-3.2483612475720848E-3</c:v>
                </c:pt>
                <c:pt idx="146">
                  <c:v>-8.7414866161497073E-3</c:v>
                </c:pt>
                <c:pt idx="147">
                  <c:v>-1.1878038368451093E-2</c:v>
                </c:pt>
                <c:pt idx="148">
                  <c:v>-1.4349520443632181E-2</c:v>
                </c:pt>
                <c:pt idx="149">
                  <c:v>-1.2678370084563185E-3</c:v>
                </c:pt>
                <c:pt idx="150">
                  <c:v>-2.7816393488647507E-3</c:v>
                </c:pt>
                <c:pt idx="151">
                  <c:v>-1.2740142805615483E-2</c:v>
                </c:pt>
                <c:pt idx="152">
                  <c:v>-2.3803852440994432E-2</c:v>
                </c:pt>
                <c:pt idx="153">
                  <c:v>-9.82986812821025E-3</c:v>
                </c:pt>
                <c:pt idx="154">
                  <c:v>-4.8693851895295738E-3</c:v>
                </c:pt>
                <c:pt idx="155">
                  <c:v>-1.3727347694840653E-2</c:v>
                </c:pt>
                <c:pt idx="156">
                  <c:v>-1.901063123815554E-2</c:v>
                </c:pt>
                <c:pt idx="157">
                  <c:v>-2.314259816870212E-3</c:v>
                </c:pt>
                <c:pt idx="158">
                  <c:v>-2.0623979002827751E-3</c:v>
                </c:pt>
                <c:pt idx="159">
                  <c:v>-1.4885638524029332E-2</c:v>
                </c:pt>
                <c:pt idx="160">
                  <c:v>-1.7343984316555705E-2</c:v>
                </c:pt>
                <c:pt idx="161">
                  <c:v>-2.6751643350335641E-3</c:v>
                </c:pt>
                <c:pt idx="162">
                  <c:v>6.026878948702752E-3</c:v>
                </c:pt>
                <c:pt idx="163">
                  <c:v>-4.979617694879401E-3</c:v>
                </c:pt>
                <c:pt idx="164">
                  <c:v>-1.2257407894932016E-3</c:v>
                </c:pt>
                <c:pt idx="165">
                  <c:v>9.3184798597700791E-3</c:v>
                </c:pt>
                <c:pt idx="166">
                  <c:v>9.3197976655726936E-3</c:v>
                </c:pt>
                <c:pt idx="167">
                  <c:v>1.1075217109633329E-3</c:v>
                </c:pt>
                <c:pt idx="168">
                  <c:v>2.563144249861793E-3</c:v>
                </c:pt>
                <c:pt idx="169">
                  <c:v>1.0760245081529441E-2</c:v>
                </c:pt>
                <c:pt idx="170">
                  <c:v>1.3386321150206725E-2</c:v>
                </c:pt>
                <c:pt idx="171">
                  <c:v>5.4503457571124514E-3</c:v>
                </c:pt>
                <c:pt idx="172">
                  <c:v>-4.3637792238333971E-3</c:v>
                </c:pt>
                <c:pt idx="173">
                  <c:v>5.1815670098193326E-3</c:v>
                </c:pt>
                <c:pt idx="174">
                  <c:v>4.5102503965333439E-3</c:v>
                </c:pt>
                <c:pt idx="175">
                  <c:v>-9.5753903769963951E-4</c:v>
                </c:pt>
                <c:pt idx="176">
                  <c:v>-6.8025534235191644E-3</c:v>
                </c:pt>
                <c:pt idx="177">
                  <c:v>8.2115120736521159E-4</c:v>
                </c:pt>
                <c:pt idx="178">
                  <c:v>4.3922432170155901E-3</c:v>
                </c:pt>
                <c:pt idx="179">
                  <c:v>-7.7309178679499267E-3</c:v>
                </c:pt>
                <c:pt idx="180">
                  <c:v>-1.6459827054746513E-2</c:v>
                </c:pt>
                <c:pt idx="181">
                  <c:v>-2.7669843877387024E-3</c:v>
                </c:pt>
                <c:pt idx="182">
                  <c:v>2.7728245721872825E-3</c:v>
                </c:pt>
                <c:pt idx="183">
                  <c:v>-2.4265207353444396E-4</c:v>
                </c:pt>
                <c:pt idx="184">
                  <c:v>9.4473629062797222E-3</c:v>
                </c:pt>
                <c:pt idx="185">
                  <c:v>3.643496759731004E-2</c:v>
                </c:pt>
                <c:pt idx="186">
                  <c:v>3.9930172684943699E-2</c:v>
                </c:pt>
                <c:pt idx="187">
                  <c:v>3.2180582349523236E-2</c:v>
                </c:pt>
                <c:pt idx="188">
                  <c:v>1.819460346819355E-2</c:v>
                </c:pt>
                <c:pt idx="189">
                  <c:v>2.4832012919648604E-2</c:v>
                </c:pt>
                <c:pt idx="190">
                  <c:v>2.189338235748952E-2</c:v>
                </c:pt>
                <c:pt idx="191">
                  <c:v>1.0796822040404131E-2</c:v>
                </c:pt>
                <c:pt idx="192">
                  <c:v>2.1699852133538755E-3</c:v>
                </c:pt>
                <c:pt idx="193">
                  <c:v>1.704666676119828E-2</c:v>
                </c:pt>
                <c:pt idx="194">
                  <c:v>1.5704104917709218E-2</c:v>
                </c:pt>
                <c:pt idx="195">
                  <c:v>-2.938409967956268E-3</c:v>
                </c:pt>
                <c:pt idx="196">
                  <c:v>-8.8837521644316905E-3</c:v>
                </c:pt>
                <c:pt idx="197">
                  <c:v>7.8483774626498352E-3</c:v>
                </c:pt>
                <c:pt idx="198">
                  <c:v>6.5046232376895219E-3</c:v>
                </c:pt>
                <c:pt idx="199">
                  <c:v>-5.803683519857117E-3</c:v>
                </c:pt>
                <c:pt idx="200">
                  <c:v>-1.2202405867810384E-2</c:v>
                </c:pt>
                <c:pt idx="201">
                  <c:v>2.047454548296379E-3</c:v>
                </c:pt>
                <c:pt idx="202">
                  <c:v>-4.9237682581892983E-3</c:v>
                </c:pt>
                <c:pt idx="203">
                  <c:v>-1.2154401090205625E-2</c:v>
                </c:pt>
                <c:pt idx="204">
                  <c:v>-1.4361293706587119E-2</c:v>
                </c:pt>
                <c:pt idx="205">
                  <c:v>-6.1279682864636698E-3</c:v>
                </c:pt>
                <c:pt idx="206">
                  <c:v>-3.4190160256057922E-3</c:v>
                </c:pt>
                <c:pt idx="207">
                  <c:v>-8.8151987013718631E-3</c:v>
                </c:pt>
                <c:pt idx="208">
                  <c:v>-9.3108211362062931E-3</c:v>
                </c:pt>
                <c:pt idx="209">
                  <c:v>1.0158132488662375E-2</c:v>
                </c:pt>
                <c:pt idx="210">
                  <c:v>1.4249556073334623E-2</c:v>
                </c:pt>
                <c:pt idx="211">
                  <c:v>1.1028832460972637E-3</c:v>
                </c:pt>
                <c:pt idx="212">
                  <c:v>-1.9718184014852367E-3</c:v>
                </c:pt>
                <c:pt idx="213">
                  <c:v>1.6985665720412157E-3</c:v>
                </c:pt>
                <c:pt idx="214">
                  <c:v>-7.6465168653164998E-3</c:v>
                </c:pt>
                <c:pt idx="215">
                  <c:v>-1.5713780115248176E-2</c:v>
                </c:pt>
                <c:pt idx="216">
                  <c:v>-2.3113985974021568E-2</c:v>
                </c:pt>
                <c:pt idx="217">
                  <c:v>-1.4323622418026715E-2</c:v>
                </c:pt>
                <c:pt idx="218">
                  <c:v>-1.4449208423686955E-2</c:v>
                </c:pt>
                <c:pt idx="219">
                  <c:v>-2.4537417646724968E-2</c:v>
                </c:pt>
                <c:pt idx="220">
                  <c:v>-2.3563227996894299E-2</c:v>
                </c:pt>
                <c:pt idx="221">
                  <c:v>2.6675521376322564E-3</c:v>
                </c:pt>
                <c:pt idx="222">
                  <c:v>8.1799564255371493E-3</c:v>
                </c:pt>
                <c:pt idx="223">
                  <c:v>1.14728684109485E-2</c:v>
                </c:pt>
                <c:pt idx="224">
                  <c:v>1.6582747320488523E-2</c:v>
                </c:pt>
                <c:pt idx="225">
                  <c:v>2.7457289943008868E-2</c:v>
                </c:pt>
                <c:pt idx="226">
                  <c:v>2.0468216600854384E-2</c:v>
                </c:pt>
                <c:pt idx="227">
                  <c:v>1.2018248380420538E-2</c:v>
                </c:pt>
                <c:pt idx="228">
                  <c:v>2.2710712878490471E-3</c:v>
                </c:pt>
                <c:pt idx="229">
                  <c:v>6.9621609594673114E-3</c:v>
                </c:pt>
                <c:pt idx="230">
                  <c:v>1.2574899074096101E-2</c:v>
                </c:pt>
                <c:pt idx="231">
                  <c:v>6.2360009189143641E-3</c:v>
                </c:pt>
                <c:pt idx="232">
                  <c:v>4.8641106886279321E-3</c:v>
                </c:pt>
                <c:pt idx="233">
                  <c:v>1.5030051787287491E-2</c:v>
                </c:pt>
                <c:pt idx="234">
                  <c:v>1.4443509162385482E-2</c:v>
                </c:pt>
                <c:pt idx="235">
                  <c:v>-1.3716243834835495E-3</c:v>
                </c:pt>
                <c:pt idx="236">
                  <c:v>-3.9588242456584767E-3</c:v>
                </c:pt>
                <c:pt idx="237">
                  <c:v>2.517227596659133E-3</c:v>
                </c:pt>
                <c:pt idx="238">
                  <c:v>3.2810856245774288E-3</c:v>
                </c:pt>
                <c:pt idx="239">
                  <c:v>-5.5607629021197976E-3</c:v>
                </c:pt>
                <c:pt idx="240">
                  <c:v>-6.5307163257438457E-3</c:v>
                </c:pt>
                <c:pt idx="241">
                  <c:v>-3.3293869026353564E-3</c:v>
                </c:pt>
                <c:pt idx="242">
                  <c:v>-3.3414434844718953E-3</c:v>
                </c:pt>
                <c:pt idx="243">
                  <c:v>-1.0045929782892671E-2</c:v>
                </c:pt>
                <c:pt idx="244">
                  <c:v>-6.5641088646499314E-3</c:v>
                </c:pt>
                <c:pt idx="245">
                  <c:v>2.4947482025776678E-4</c:v>
                </c:pt>
                <c:pt idx="246">
                  <c:v>-1.9309623063238136E-3</c:v>
                </c:pt>
                <c:pt idx="247">
                  <c:v>-1.3150915661907269E-2</c:v>
                </c:pt>
                <c:pt idx="248">
                  <c:v>-2.2051357682448546E-2</c:v>
                </c:pt>
                <c:pt idx="249">
                  <c:v>-1.8698713170045345E-2</c:v>
                </c:pt>
                <c:pt idx="250">
                  <c:v>-1.2227739371329881E-2</c:v>
                </c:pt>
                <c:pt idx="251">
                  <c:v>-1.6205769140088755E-2</c:v>
                </c:pt>
                <c:pt idx="252">
                  <c:v>-1.5753854502522736E-2</c:v>
                </c:pt>
                <c:pt idx="253">
                  <c:v>-3.9494128931373499E-3</c:v>
                </c:pt>
                <c:pt idx="254">
                  <c:v>-1.292692760648606E-3</c:v>
                </c:pt>
                <c:pt idx="255">
                  <c:v>-1.4907237597549994E-2</c:v>
                </c:pt>
                <c:pt idx="256">
                  <c:v>-1.254291452883507E-2</c:v>
                </c:pt>
                <c:pt idx="257">
                  <c:v>4.3108319860360568E-3</c:v>
                </c:pt>
                <c:pt idx="258">
                  <c:v>1.1973113264112989E-2</c:v>
                </c:pt>
                <c:pt idx="259">
                  <c:v>7.6796390800316413E-3</c:v>
                </c:pt>
                <c:pt idx="260">
                  <c:v>1.4300662390767726E-2</c:v>
                </c:pt>
                <c:pt idx="261">
                  <c:v>2.6342223210738602E-2</c:v>
                </c:pt>
                <c:pt idx="262">
                  <c:v>2.6955401417288451E-2</c:v>
                </c:pt>
                <c:pt idx="263">
                  <c:v>2.2938493605016673E-2</c:v>
                </c:pt>
                <c:pt idx="264">
                  <c:v>1.5036338930914717E-2</c:v>
                </c:pt>
                <c:pt idx="265">
                  <c:v>2.2431846476185058E-2</c:v>
                </c:pt>
                <c:pt idx="266">
                  <c:v>1.9725939333836706E-2</c:v>
                </c:pt>
                <c:pt idx="267">
                  <c:v>4.2570701597934857E-3</c:v>
                </c:pt>
                <c:pt idx="268">
                  <c:v>-8.2969451797398012E-3</c:v>
                </c:pt>
                <c:pt idx="269">
                  <c:v>2.3157666351798058E-3</c:v>
                </c:pt>
                <c:pt idx="270">
                  <c:v>-5.7867954752364168E-4</c:v>
                </c:pt>
                <c:pt idx="271">
                  <c:v>-1.5906205591043231E-2</c:v>
                </c:pt>
                <c:pt idx="272">
                  <c:v>-2.1487170942319798E-2</c:v>
                </c:pt>
                <c:pt idx="273">
                  <c:v>-7.1639972299077925E-3</c:v>
                </c:pt>
                <c:pt idx="274">
                  <c:v>-1.5678698075857866E-3</c:v>
                </c:pt>
                <c:pt idx="275">
                  <c:v>-1.5742438996233156E-2</c:v>
                </c:pt>
                <c:pt idx="276">
                  <c:v>-1.6763346186533922E-2</c:v>
                </c:pt>
                <c:pt idx="277">
                  <c:v>-4.43024490264321E-3</c:v>
                </c:pt>
                <c:pt idx="278">
                  <c:v>-3.6873823841254705E-3</c:v>
                </c:pt>
                <c:pt idx="279">
                  <c:v>-8.7798125731765701E-3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A5-422D-BFFB-C4D88CAA3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392352"/>
        <c:axId val="512379872"/>
      </c:lineChart>
      <c:dateAx>
        <c:axId val="51239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79872"/>
        <c:crosses val="autoZero"/>
        <c:auto val="1"/>
        <c:lblOffset val="100"/>
        <c:baseTimeUnit val="months"/>
        <c:majorUnit val="5"/>
        <c:majorTimeUnit val="years"/>
      </c:dateAx>
      <c:valAx>
        <c:axId val="512379872"/>
        <c:scaling>
          <c:orientation val="minMax"/>
          <c:max val="4.5000000000000012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9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Expenditure: Low Frequency Component Log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Data150!$P$1</c:f>
              <c:strCache>
                <c:ptCount val="1"/>
                <c:pt idx="0">
                  <c:v>Low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Data150!$C$2:$C$285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Data150!$P$2:$P$285</c:f>
              <c:numCache>
                <c:formatCode>0.000</c:formatCode>
                <c:ptCount val="284"/>
                <c:pt idx="2">
                  <c:v>6.5323715895522954</c:v>
                </c:pt>
                <c:pt idx="3">
                  <c:v>6.5398465079916459</c:v>
                </c:pt>
                <c:pt idx="4">
                  <c:v>6.5455530291987642</c:v>
                </c:pt>
                <c:pt idx="5">
                  <c:v>6.5381236035603711</c:v>
                </c:pt>
                <c:pt idx="6">
                  <c:v>6.549156879822112</c:v>
                </c:pt>
                <c:pt idx="7">
                  <c:v>6.5675505776506</c:v>
                </c:pt>
                <c:pt idx="8">
                  <c:v>6.5661872458547785</c:v>
                </c:pt>
                <c:pt idx="9">
                  <c:v>6.5578586914628216</c:v>
                </c:pt>
                <c:pt idx="10">
                  <c:v>6.5537408989473001</c:v>
                </c:pt>
                <c:pt idx="11">
                  <c:v>6.5576571079871195</c:v>
                </c:pt>
                <c:pt idx="12">
                  <c:v>6.55681853233511</c:v>
                </c:pt>
                <c:pt idx="13">
                  <c:v>6.5429417719538483</c:v>
                </c:pt>
                <c:pt idx="14">
                  <c:v>6.5464302324865207</c:v>
                </c:pt>
                <c:pt idx="15">
                  <c:v>6.5680958078636422</c:v>
                </c:pt>
                <c:pt idx="16">
                  <c:v>6.5661472886238776</c:v>
                </c:pt>
                <c:pt idx="17">
                  <c:v>6.5572696680701235</c:v>
                </c:pt>
                <c:pt idx="18">
                  <c:v>6.5658793187838249</c:v>
                </c:pt>
                <c:pt idx="19">
                  <c:v>6.5821979722424375</c:v>
                </c:pt>
                <c:pt idx="20">
                  <c:v>6.5824644612891996</c:v>
                </c:pt>
                <c:pt idx="21">
                  <c:v>6.5816235350327927</c:v>
                </c:pt>
                <c:pt idx="22">
                  <c:v>6.5825000886638083</c:v>
                </c:pt>
                <c:pt idx="23">
                  <c:v>6.5904846314406287</c:v>
                </c:pt>
                <c:pt idx="24">
                  <c:v>6.5949496888502006</c:v>
                </c:pt>
                <c:pt idx="25">
                  <c:v>6.5854045918895023</c:v>
                </c:pt>
                <c:pt idx="26">
                  <c:v>6.5797062007306364</c:v>
                </c:pt>
                <c:pt idx="27">
                  <c:v>6.5994033258729567</c:v>
                </c:pt>
                <c:pt idx="28">
                  <c:v>6.6104297400118943</c:v>
                </c:pt>
                <c:pt idx="29">
                  <c:v>6.596723908586557</c:v>
                </c:pt>
                <c:pt idx="30">
                  <c:v>6.586406434828465</c:v>
                </c:pt>
                <c:pt idx="31">
                  <c:v>6.6077673466744713</c:v>
                </c:pt>
                <c:pt idx="32">
                  <c:v>6.6082950514661052</c:v>
                </c:pt>
                <c:pt idx="33">
                  <c:v>6.5956426121105176</c:v>
                </c:pt>
                <c:pt idx="34">
                  <c:v>6.5989530325162651</c:v>
                </c:pt>
                <c:pt idx="35">
                  <c:v>6.6256225429557603</c:v>
                </c:pt>
                <c:pt idx="36">
                  <c:v>6.6266588147041565</c:v>
                </c:pt>
                <c:pt idx="37">
                  <c:v>6.6207760376629059</c:v>
                </c:pt>
                <c:pt idx="38">
                  <c:v>6.6138549318274054</c:v>
                </c:pt>
                <c:pt idx="39">
                  <c:v>6.6213725953565747</c:v>
                </c:pt>
                <c:pt idx="40">
                  <c:v>6.6195626282525986</c:v>
                </c:pt>
                <c:pt idx="41">
                  <c:v>6.600887814097101</c:v>
                </c:pt>
                <c:pt idx="42">
                  <c:v>6.5981555311659355</c:v>
                </c:pt>
                <c:pt idx="43">
                  <c:v>6.6151583468763535</c:v>
                </c:pt>
                <c:pt idx="44">
                  <c:v>6.6156846629695618</c:v>
                </c:pt>
                <c:pt idx="45">
                  <c:v>6.6047413064017482</c:v>
                </c:pt>
                <c:pt idx="46">
                  <c:v>6.6097835902710447</c:v>
                </c:pt>
                <c:pt idx="47">
                  <c:v>6.6241133247322823</c:v>
                </c:pt>
                <c:pt idx="48">
                  <c:v>6.6220326817801043</c:v>
                </c:pt>
                <c:pt idx="49">
                  <c:v>6.6137149170362495</c:v>
                </c:pt>
                <c:pt idx="50">
                  <c:v>6.6089957529169192</c:v>
                </c:pt>
                <c:pt idx="51">
                  <c:v>6.6349051486205779</c:v>
                </c:pt>
                <c:pt idx="52">
                  <c:v>6.6389610544106805</c:v>
                </c:pt>
                <c:pt idx="53">
                  <c:v>6.6325860127045964</c:v>
                </c:pt>
                <c:pt idx="54">
                  <c:v>6.6350366900657471</c:v>
                </c:pt>
                <c:pt idx="55">
                  <c:v>6.6590920505727009</c:v>
                </c:pt>
                <c:pt idx="56">
                  <c:v>6.6483595943740195</c:v>
                </c:pt>
                <c:pt idx="57">
                  <c:v>6.6321627584585414</c:v>
                </c:pt>
                <c:pt idx="58">
                  <c:v>6.6321627584585414</c:v>
                </c:pt>
                <c:pt idx="59">
                  <c:v>6.6497679079228869</c:v>
                </c:pt>
                <c:pt idx="60">
                  <c:v>6.650265420617254</c:v>
                </c:pt>
                <c:pt idx="61">
                  <c:v>6.6505216666484612</c:v>
                </c:pt>
                <c:pt idx="62">
                  <c:v>6.6537606038324544</c:v>
                </c:pt>
                <c:pt idx="63">
                  <c:v>6.6766864377443325</c:v>
                </c:pt>
                <c:pt idx="64">
                  <c:v>6.6825476630614302</c:v>
                </c:pt>
                <c:pt idx="65">
                  <c:v>6.6665184165212663</c:v>
                </c:pt>
                <c:pt idx="66">
                  <c:v>6.6568115935199526</c:v>
                </c:pt>
                <c:pt idx="67">
                  <c:v>6.6717670119770993</c:v>
                </c:pt>
                <c:pt idx="68">
                  <c:v>6.6717670119770984</c:v>
                </c:pt>
                <c:pt idx="69">
                  <c:v>6.6533777301344807</c:v>
                </c:pt>
                <c:pt idx="70">
                  <c:v>6.6547191167858308</c:v>
                </c:pt>
                <c:pt idx="71">
                  <c:v>6.6654476533756899</c:v>
                </c:pt>
                <c:pt idx="72">
                  <c:v>6.656037144521509</c:v>
                </c:pt>
                <c:pt idx="73">
                  <c:v>6.6384378571227627</c:v>
                </c:pt>
                <c:pt idx="74">
                  <c:v>6.6392278515666234</c:v>
                </c:pt>
                <c:pt idx="75">
                  <c:v>6.6511639482211518</c:v>
                </c:pt>
                <c:pt idx="76">
                  <c:v>6.661346159368871</c:v>
                </c:pt>
                <c:pt idx="77">
                  <c:v>6.6568693430921595</c:v>
                </c:pt>
                <c:pt idx="78">
                  <c:v>6.6528877915605742</c:v>
                </c:pt>
                <c:pt idx="79">
                  <c:v>6.6616295429191075</c:v>
                </c:pt>
                <c:pt idx="80">
                  <c:v>6.6683174725601653</c:v>
                </c:pt>
                <c:pt idx="81">
                  <c:v>6.6566007270301144</c:v>
                </c:pt>
                <c:pt idx="82">
                  <c:v>6.6495539276482223</c:v>
                </c:pt>
                <c:pt idx="83">
                  <c:v>6.6679812749280254</c:v>
                </c:pt>
                <c:pt idx="84">
                  <c:v>6.6724590739067189</c:v>
                </c:pt>
                <c:pt idx="85">
                  <c:v>6.6554329256178217</c:v>
                </c:pt>
                <c:pt idx="86">
                  <c:v>6.6432598568210066</c:v>
                </c:pt>
                <c:pt idx="87">
                  <c:v>6.6669083968428895</c:v>
                </c:pt>
                <c:pt idx="88">
                  <c:v>6.6717395496187564</c:v>
                </c:pt>
                <c:pt idx="89">
                  <c:v>6.6595684944745059</c:v>
                </c:pt>
                <c:pt idx="90">
                  <c:v>6.6577030578994778</c:v>
                </c:pt>
                <c:pt idx="91">
                  <c:v>6.6815928722263385</c:v>
                </c:pt>
                <c:pt idx="92">
                  <c:v>6.6883405001527079</c:v>
                </c:pt>
                <c:pt idx="93">
                  <c:v>6.6721926897737829</c:v>
                </c:pt>
                <c:pt idx="94">
                  <c:v>6.6700901736959626</c:v>
                </c:pt>
                <c:pt idx="95">
                  <c:v>6.6779652067429218</c:v>
                </c:pt>
                <c:pt idx="96">
                  <c:v>6.6700629442881629</c:v>
                </c:pt>
                <c:pt idx="97">
                  <c:v>6.6537777502046467</c:v>
                </c:pt>
                <c:pt idx="98">
                  <c:v>6.6532596151998238</c:v>
                </c:pt>
                <c:pt idx="99">
                  <c:v>6.6726336449840886</c:v>
                </c:pt>
                <c:pt idx="100">
                  <c:v>6.6898857138409697</c:v>
                </c:pt>
                <c:pt idx="101">
                  <c:v>6.6985130526185959</c:v>
                </c:pt>
                <c:pt idx="102">
                  <c:v>6.7035894672728862</c:v>
                </c:pt>
                <c:pt idx="103">
                  <c:v>6.7252055769570704</c:v>
                </c:pt>
                <c:pt idx="104">
                  <c:v>6.7327358781978051</c:v>
                </c:pt>
                <c:pt idx="105">
                  <c:v>6.7175324828238745</c:v>
                </c:pt>
                <c:pt idx="106">
                  <c:v>6.7045765218703508</c:v>
                </c:pt>
                <c:pt idx="107">
                  <c:v>6.7105028813916219</c:v>
                </c:pt>
                <c:pt idx="108">
                  <c:v>6.705074819611708</c:v>
                </c:pt>
                <c:pt idx="109">
                  <c:v>6.6944024597897114</c:v>
                </c:pt>
                <c:pt idx="110">
                  <c:v>6.6961779945961144</c:v>
                </c:pt>
                <c:pt idx="111">
                  <c:v>6.7108156471395199</c:v>
                </c:pt>
                <c:pt idx="112">
                  <c:v>6.7177499938429666</c:v>
                </c:pt>
                <c:pt idx="113">
                  <c:v>6.7081952069840689</c:v>
                </c:pt>
                <c:pt idx="114">
                  <c:v>6.7122942051899939</c:v>
                </c:pt>
                <c:pt idx="115">
                  <c:v>6.7233467409250034</c:v>
                </c:pt>
                <c:pt idx="116">
                  <c:v>6.7287748027049208</c:v>
                </c:pt>
                <c:pt idx="117">
                  <c:v>6.7169140985635449</c:v>
                </c:pt>
                <c:pt idx="118">
                  <c:v>6.7166629999743748</c:v>
                </c:pt>
                <c:pt idx="119">
                  <c:v>6.7266709050652018</c:v>
                </c:pt>
                <c:pt idx="120">
                  <c:v>6.7257128194006714</c:v>
                </c:pt>
                <c:pt idx="121">
                  <c:v>6.7109807544937805</c:v>
                </c:pt>
                <c:pt idx="122">
                  <c:v>6.7176030639475401</c:v>
                </c:pt>
                <c:pt idx="123">
                  <c:v>6.7397026738814452</c:v>
                </c:pt>
                <c:pt idx="124">
                  <c:v>6.7337114424815594</c:v>
                </c:pt>
                <c:pt idx="125">
                  <c:v>6.7298325330201871</c:v>
                </c:pt>
                <c:pt idx="126">
                  <c:v>6.7338028867307393</c:v>
                </c:pt>
                <c:pt idx="127">
                  <c:v>6.738570692965947</c:v>
                </c:pt>
                <c:pt idx="128">
                  <c:v>6.7288913847935765</c:v>
                </c:pt>
                <c:pt idx="129">
                  <c:v>6.7217477682731648</c:v>
                </c:pt>
                <c:pt idx="130">
                  <c:v>6.719036697802486</c:v>
                </c:pt>
                <c:pt idx="131">
                  <c:v>6.7262751235211686</c:v>
                </c:pt>
                <c:pt idx="132">
                  <c:v>6.7307016291909738</c:v>
                </c:pt>
                <c:pt idx="133">
                  <c:v>6.7278478352307323</c:v>
                </c:pt>
                <c:pt idx="134">
                  <c:v>6.7297778863971596</c:v>
                </c:pt>
                <c:pt idx="135">
                  <c:v>6.7475726630830763</c:v>
                </c:pt>
                <c:pt idx="136">
                  <c:v>6.7588594803391837</c:v>
                </c:pt>
                <c:pt idx="137">
                  <c:v>6.7546684073039831</c:v>
                </c:pt>
                <c:pt idx="138">
                  <c:v>6.7556242036272511</c:v>
                </c:pt>
                <c:pt idx="139">
                  <c:v>6.7677350041954734</c:v>
                </c:pt>
                <c:pt idx="140">
                  <c:v>6.768414891535766</c:v>
                </c:pt>
                <c:pt idx="141">
                  <c:v>6.7484099870646812</c:v>
                </c:pt>
                <c:pt idx="142">
                  <c:v>6.7505165015646638</c:v>
                </c:pt>
                <c:pt idx="143">
                  <c:v>6.7674215363902155</c:v>
                </c:pt>
                <c:pt idx="144">
                  <c:v>6.7628499087750038</c:v>
                </c:pt>
                <c:pt idx="145">
                  <c:v>6.7516842188644182</c:v>
                </c:pt>
                <c:pt idx="146">
                  <c:v>6.7543886239308124</c:v>
                </c:pt>
                <c:pt idx="147">
                  <c:v>6.761029188132393</c:v>
                </c:pt>
                <c:pt idx="148">
                  <c:v>6.7570467556683687</c:v>
                </c:pt>
                <c:pt idx="149">
                  <c:v>6.7554216741795905</c:v>
                </c:pt>
                <c:pt idx="150">
                  <c:v>6.7544624397268915</c:v>
                </c:pt>
                <c:pt idx="151">
                  <c:v>6.7690571481435091</c:v>
                </c:pt>
                <c:pt idx="152">
                  <c:v>6.7690571481435127</c:v>
                </c:pt>
                <c:pt idx="153">
                  <c:v>6.7606132243861339</c:v>
                </c:pt>
                <c:pt idx="154">
                  <c:v>6.7510648718090893</c:v>
                </c:pt>
                <c:pt idx="155">
                  <c:v>6.7665549905391744</c:v>
                </c:pt>
                <c:pt idx="156">
                  <c:v>6.7730323852541154</c:v>
                </c:pt>
                <c:pt idx="157">
                  <c:v>6.7656921118840279</c:v>
                </c:pt>
                <c:pt idx="158">
                  <c:v>6.7619272948349058</c:v>
                </c:pt>
                <c:pt idx="159">
                  <c:v>6.7801429101093404</c:v>
                </c:pt>
                <c:pt idx="160">
                  <c:v>6.7819147932380401</c:v>
                </c:pt>
                <c:pt idx="161">
                  <c:v>6.7706123511853722</c:v>
                </c:pt>
                <c:pt idx="162">
                  <c:v>6.7696755813228915</c:v>
                </c:pt>
                <c:pt idx="163">
                  <c:v>6.7858667545934184</c:v>
                </c:pt>
                <c:pt idx="164">
                  <c:v>6.7960919285251187</c:v>
                </c:pt>
                <c:pt idx="165">
                  <c:v>6.7866093398884741</c:v>
                </c:pt>
                <c:pt idx="166">
                  <c:v>6.791887902159754</c:v>
                </c:pt>
                <c:pt idx="167">
                  <c:v>6.8039575855338708</c:v>
                </c:pt>
                <c:pt idx="168">
                  <c:v>6.8054851434234997</c:v>
                </c:pt>
                <c:pt idx="169">
                  <c:v>6.7987998849116735</c:v>
                </c:pt>
                <c:pt idx="170">
                  <c:v>6.8017833022523213</c:v>
                </c:pt>
                <c:pt idx="171">
                  <c:v>6.8115089752446973</c:v>
                </c:pt>
                <c:pt idx="172">
                  <c:v>6.8156644008330529</c:v>
                </c:pt>
                <c:pt idx="173">
                  <c:v>6.8092585523185969</c:v>
                </c:pt>
                <c:pt idx="174">
                  <c:v>6.8009753315752484</c:v>
                </c:pt>
                <c:pt idx="175">
                  <c:v>6.812052359405472</c:v>
                </c:pt>
                <c:pt idx="176">
                  <c:v>6.8129135017477136</c:v>
                </c:pt>
                <c:pt idx="177">
                  <c:v>6.808978948627967</c:v>
                </c:pt>
                <c:pt idx="178">
                  <c:v>6.8046679479156076</c:v>
                </c:pt>
                <c:pt idx="179">
                  <c:v>6.8138264435789075</c:v>
                </c:pt>
                <c:pt idx="180">
                  <c:v>6.818933103979937</c:v>
                </c:pt>
                <c:pt idx="181">
                  <c:v>6.8083462886453239</c:v>
                </c:pt>
                <c:pt idx="182">
                  <c:v>6.8011545025678322</c:v>
                </c:pt>
                <c:pt idx="183">
                  <c:v>6.816385245703108</c:v>
                </c:pt>
                <c:pt idx="184">
                  <c:v>6.8234637324902687</c:v>
                </c:pt>
                <c:pt idx="185">
                  <c:v>6.8219877110307472</c:v>
                </c:pt>
                <c:pt idx="186">
                  <c:v>6.8332179585557222</c:v>
                </c:pt>
                <c:pt idx="187">
                  <c:v>6.8617465731508753</c:v>
                </c:pt>
                <c:pt idx="188">
                  <c:v>6.8667835655016027</c:v>
                </c:pt>
                <c:pt idx="189">
                  <c:v>6.8605765397882319</c:v>
                </c:pt>
                <c:pt idx="190">
                  <c:v>6.8481339028879145</c:v>
                </c:pt>
                <c:pt idx="191">
                  <c:v>6.8563154316793513</c:v>
                </c:pt>
                <c:pt idx="192">
                  <c:v>6.8549216978161303</c:v>
                </c:pt>
                <c:pt idx="193">
                  <c:v>6.8453708115569496</c:v>
                </c:pt>
                <c:pt idx="194">
                  <c:v>6.8382904261467639</c:v>
                </c:pt>
                <c:pt idx="195">
                  <c:v>6.8547143364704457</c:v>
                </c:pt>
                <c:pt idx="196">
                  <c:v>6.8549197807617475</c:v>
                </c:pt>
                <c:pt idx="197">
                  <c:v>6.8378260493698386</c:v>
                </c:pt>
                <c:pt idx="198">
                  <c:v>6.8334302680260892</c:v>
                </c:pt>
                <c:pt idx="199">
                  <c:v>6.8517127358648535</c:v>
                </c:pt>
                <c:pt idx="200">
                  <c:v>6.851920097210539</c:v>
                </c:pt>
                <c:pt idx="201">
                  <c:v>6.8411636833826082</c:v>
                </c:pt>
                <c:pt idx="202">
                  <c:v>6.8363176313232259</c:v>
                </c:pt>
                <c:pt idx="203">
                  <c:v>6.8521209393868672</c:v>
                </c:pt>
                <c:pt idx="204">
                  <c:v>6.84670394158689</c:v>
                </c:pt>
                <c:pt idx="205">
                  <c:v>6.8410283111203345</c:v>
                </c:pt>
                <c:pt idx="206">
                  <c:v>6.8403771982283796</c:v>
                </c:pt>
                <c:pt idx="207">
                  <c:v>6.8501670807318931</c:v>
                </c:pt>
                <c:pt idx="208">
                  <c:v>6.8544333674351074</c:v>
                </c:pt>
                <c:pt idx="209">
                  <c:v>6.8505952965606571</c:v>
                </c:pt>
                <c:pt idx="210">
                  <c:v>6.8516585632861018</c:v>
                </c:pt>
                <c:pt idx="211">
                  <c:v>6.8726871834302194</c:v>
                </c:pt>
                <c:pt idx="212">
                  <c:v>6.8783390508930964</c:v>
                </c:pt>
                <c:pt idx="213">
                  <c:v>6.8667535993030304</c:v>
                </c:pt>
                <c:pt idx="214">
                  <c:v>6.8652408962515858</c:v>
                </c:pt>
                <c:pt idx="215">
                  <c:v>6.8704740571802061</c:v>
                </c:pt>
                <c:pt idx="216">
                  <c:v>6.8626925270569092</c:v>
                </c:pt>
                <c:pt idx="217">
                  <c:v>6.8561895944800009</c:v>
                </c:pt>
                <c:pt idx="218">
                  <c:v>6.8503544966532166</c:v>
                </c:pt>
                <c:pt idx="219">
                  <c:v>6.8607107456001613</c:v>
                </c:pt>
                <c:pt idx="220">
                  <c:v>6.8621518223444129</c:v>
                </c:pt>
                <c:pt idx="221">
                  <c:v>6.8536310532302576</c:v>
                </c:pt>
                <c:pt idx="222">
                  <c:v>6.8561734603479261</c:v>
                </c:pt>
                <c:pt idx="223">
                  <c:v>6.8839732353092575</c:v>
                </c:pt>
                <c:pt idx="224">
                  <c:v>6.8910554117829337</c:v>
                </c:pt>
                <c:pt idx="225">
                  <c:v>6.8959188733130725</c:v>
                </c:pt>
                <c:pt idx="226">
                  <c:v>6.902600079126306</c:v>
                </c:pt>
                <c:pt idx="227">
                  <c:v>6.9150467260114796</c:v>
                </c:pt>
                <c:pt idx="228">
                  <c:v>6.9096305342909519</c:v>
                </c:pt>
                <c:pt idx="229">
                  <c:v>6.9027542250511003</c:v>
                </c:pt>
                <c:pt idx="230">
                  <c:v>6.8945814842980742</c:v>
                </c:pt>
                <c:pt idx="231">
                  <c:v>6.9008477876682086</c:v>
                </c:pt>
                <c:pt idx="232">
                  <c:v>6.9080365168403084</c:v>
                </c:pt>
                <c:pt idx="233">
                  <c:v>6.9032743871015612</c:v>
                </c:pt>
                <c:pt idx="234">
                  <c:v>6.9034800426466791</c:v>
                </c:pt>
                <c:pt idx="235">
                  <c:v>6.9152243068797032</c:v>
                </c:pt>
                <c:pt idx="236">
                  <c:v>6.9162168647481241</c:v>
                </c:pt>
                <c:pt idx="237">
                  <c:v>6.9019816090545527</c:v>
                </c:pt>
                <c:pt idx="238">
                  <c:v>6.9009750644036272</c:v>
                </c:pt>
                <c:pt idx="239">
                  <c:v>6.9090325488161604</c:v>
                </c:pt>
                <c:pt idx="240">
                  <c:v>6.9113786167732574</c:v>
                </c:pt>
                <c:pt idx="241">
                  <c:v>6.9041197555347091</c:v>
                </c:pt>
                <c:pt idx="242">
                  <c:v>6.9047335667581899</c:v>
                </c:pt>
                <c:pt idx="243">
                  <c:v>6.9095194381873668</c:v>
                </c:pt>
                <c:pt idx="244">
                  <c:v>6.9110927009705678</c:v>
                </c:pt>
                <c:pt idx="245">
                  <c:v>6.9059743113961449</c:v>
                </c:pt>
                <c:pt idx="246">
                  <c:v>6.9110430063973443</c:v>
                </c:pt>
                <c:pt idx="247">
                  <c:v>6.9194442415241824</c:v>
                </c:pt>
                <c:pt idx="248">
                  <c:v>6.918852233198483</c:v>
                </c:pt>
                <c:pt idx="249">
                  <c:v>6.9092214860027488</c:v>
                </c:pt>
                <c:pt idx="250">
                  <c:v>6.9019110275010203</c:v>
                </c:pt>
                <c:pt idx="251">
                  <c:v>6.9068544328912056</c:v>
                </c:pt>
                <c:pt idx="252">
                  <c:v>6.9149169449266594</c:v>
                </c:pt>
                <c:pt idx="253">
                  <c:v>6.9125312307536015</c:v>
                </c:pt>
                <c:pt idx="254">
                  <c:v>6.9145762383458385</c:v>
                </c:pt>
                <c:pt idx="255">
                  <c:v>6.9279745502688517</c:v>
                </c:pt>
                <c:pt idx="256">
                  <c:v>6.9322259180739341</c:v>
                </c:pt>
                <c:pt idx="257">
                  <c:v>6.9202067982685929</c:v>
                </c:pt>
                <c:pt idx="258">
                  <c:v>6.9241673237278274</c:v>
                </c:pt>
                <c:pt idx="259">
                  <c:v>6.942618049992177</c:v>
                </c:pt>
                <c:pt idx="260">
                  <c:v>6.9518780883787068</c:v>
                </c:pt>
                <c:pt idx="261">
                  <c:v>6.9491831486620343</c:v>
                </c:pt>
                <c:pt idx="262">
                  <c:v>6.9574034837991414</c:v>
                </c:pt>
                <c:pt idx="263">
                  <c:v>6.9710451338044468</c:v>
                </c:pt>
                <c:pt idx="264">
                  <c:v>6.9732591785553018</c:v>
                </c:pt>
                <c:pt idx="265">
                  <c:v>6.9708439146462897</c:v>
                </c:pt>
                <c:pt idx="266">
                  <c:v>6.9645441812344151</c:v>
                </c:pt>
                <c:pt idx="267">
                  <c:v>6.9735428874008791</c:v>
                </c:pt>
                <c:pt idx="268">
                  <c:v>6.9724409562386835</c:v>
                </c:pt>
                <c:pt idx="269">
                  <c:v>6.9585768404037527</c:v>
                </c:pt>
                <c:pt idx="270">
                  <c:v>6.9476283557623058</c:v>
                </c:pt>
                <c:pt idx="271">
                  <c:v>6.9598473756342667</c:v>
                </c:pt>
                <c:pt idx="272">
                  <c:v>6.9585600148675679</c:v>
                </c:pt>
                <c:pt idx="273">
                  <c:v>6.9448403515990167</c:v>
                </c:pt>
                <c:pt idx="274">
                  <c:v>6.9408680263816782</c:v>
                </c:pt>
                <c:pt idx="275">
                  <c:v>6.9568006175869836</c:v>
                </c:pt>
                <c:pt idx="276">
                  <c:v>6.9640069398611626</c:v>
                </c:pt>
                <c:pt idx="277">
                  <c:v>6.9514433428833451</c:v>
                </c:pt>
                <c:pt idx="278">
                  <c:v>6.9520341852628276</c:v>
                </c:pt>
                <c:pt idx="279">
                  <c:v>6.9659798134754674</c:v>
                </c:pt>
                <c:pt idx="280">
                  <c:v>6.9683359802817009</c:v>
                </c:pt>
                <c:pt idx="281">
                  <c:v>6.9648576317393252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5-499D-BB63-B5A157642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596416"/>
        <c:axId val="951602240"/>
      </c:lineChart>
      <c:dateAx>
        <c:axId val="95159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02240"/>
        <c:crosses val="autoZero"/>
        <c:auto val="1"/>
        <c:lblOffset val="100"/>
        <c:baseTimeUnit val="months"/>
        <c:majorUnit val="5"/>
        <c:majorTimeUnit val="years"/>
      </c:dateAx>
      <c:valAx>
        <c:axId val="951602240"/>
        <c:scaling>
          <c:orientation val="minMax"/>
          <c:min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9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</a:t>
            </a:r>
            <a:r>
              <a:rPr lang="en-US" baseline="0"/>
              <a:t> </a:t>
            </a:r>
            <a:r>
              <a:rPr lang="en-US"/>
              <a:t>Consumption</a:t>
            </a:r>
            <a:r>
              <a:rPr lang="en-US" baseline="0"/>
              <a:t> Expenditure From 1950 to 2020: Log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Data150!$S$1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Data150!$S$6:$S$9</c:f>
              <c:numCache>
                <c:formatCode>0.000</c:formatCode>
                <c:ptCount val="4"/>
                <c:pt idx="0">
                  <c:v>-4.2188413571464481E-2</c:v>
                </c:pt>
                <c:pt idx="1">
                  <c:v>3.3016609529259298E-2</c:v>
                </c:pt>
                <c:pt idx="2">
                  <c:v>3.7550349586397608E-2</c:v>
                </c:pt>
                <c:pt idx="3">
                  <c:v>-2.8378545544192432E-2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8-49AB-8472-0EBFBB746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018512"/>
        <c:axId val="404018096"/>
      </c:barChart>
      <c:catAx>
        <c:axId val="404018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18096"/>
        <c:crosses val="autoZero"/>
        <c:auto val="1"/>
        <c:lblAlgn val="ctr"/>
        <c:lblOffset val="100"/>
        <c:noMultiLvlLbl val="0"/>
      </c:catAx>
      <c:valAx>
        <c:axId val="4040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1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Consumption</a:t>
            </a:r>
            <a:r>
              <a:rPr lang="en-CA" baseline="0"/>
              <a:t> Expenditure of Data 150 Versus Consumption Expenditure of Data 45: Log Scale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Data150!$G$2:$G$285</c:f>
              <c:numCache>
                <c:formatCode>0.00</c:formatCode>
                <c:ptCount val="284"/>
                <c:pt idx="0">
                  <c:v>6.5638555265321274</c:v>
                </c:pt>
                <c:pt idx="1">
                  <c:v>6.5381398237676702</c:v>
                </c:pt>
                <c:pt idx="2">
                  <c:v>6.5694814204142959</c:v>
                </c:pt>
                <c:pt idx="3">
                  <c:v>6.5072777123850116</c:v>
                </c:pt>
                <c:pt idx="4">
                  <c:v>6.4831073514571989</c:v>
                </c:pt>
                <c:pt idx="5">
                  <c:v>6.6012301187288767</c:v>
                </c:pt>
                <c:pt idx="6">
                  <c:v>6.5666724298032406</c:v>
                </c:pt>
                <c:pt idx="7">
                  <c:v>6.5323342922223491</c:v>
                </c:pt>
                <c:pt idx="8">
                  <c:v>6.5624440936937196</c:v>
                </c:pt>
                <c:pt idx="9">
                  <c:v>6.5750758405996201</c:v>
                </c:pt>
                <c:pt idx="10">
                  <c:v>6.5944134597497781</c:v>
                </c:pt>
                <c:pt idx="11">
                  <c:v>6.5250296578434623</c:v>
                </c:pt>
                <c:pt idx="12">
                  <c:v>6.5117453296447279</c:v>
                </c:pt>
                <c:pt idx="13">
                  <c:v>6.5820251388928259</c:v>
                </c:pt>
                <c:pt idx="14">
                  <c:v>6.5708829623395841</c:v>
                </c:pt>
                <c:pt idx="15">
                  <c:v>6.5250296578434623</c:v>
                </c:pt>
                <c:pt idx="16">
                  <c:v>6.5424719605068047</c:v>
                </c:pt>
                <c:pt idx="17">
                  <c:v>6.620073206530356</c:v>
                </c:pt>
                <c:pt idx="18">
                  <c:v>6.5722825426940075</c:v>
                </c:pt>
                <c:pt idx="19">
                  <c:v>6.5264948595707901</c:v>
                </c:pt>
                <c:pt idx="20">
                  <c:v>6.5680779114119758</c:v>
                </c:pt>
                <c:pt idx="21">
                  <c:v>6.6240652277998935</c:v>
                </c:pt>
                <c:pt idx="22">
                  <c:v>6.6214056517641344</c:v>
                </c:pt>
                <c:pt idx="23">
                  <c:v>6.5680779114119758</c:v>
                </c:pt>
                <c:pt idx="24">
                  <c:v>6.5308776277258849</c:v>
                </c:pt>
                <c:pt idx="25">
                  <c:v>6.6080006252960866</c:v>
                </c:pt>
                <c:pt idx="26">
                  <c:v>6.6463905148477291</c:v>
                </c:pt>
                <c:pt idx="27">
                  <c:v>6.5736801669606457</c:v>
                </c:pt>
                <c:pt idx="28">
                  <c:v>6.5395859556176692</c:v>
                </c:pt>
                <c:pt idx="29">
                  <c:v>6.6293632534374485</c:v>
                </c:pt>
                <c:pt idx="30">
                  <c:v>6.6631326959908028</c:v>
                </c:pt>
                <c:pt idx="31">
                  <c:v>6.577861357721047</c:v>
                </c:pt>
                <c:pt idx="32">
                  <c:v>6.522092798170152</c:v>
                </c:pt>
                <c:pt idx="33">
                  <c:v>6.6463905148477291</c:v>
                </c:pt>
                <c:pt idx="34">
                  <c:v>6.6320017773956303</c:v>
                </c:pt>
                <c:pt idx="35">
                  <c:v>6.5998704992128365</c:v>
                </c:pt>
                <c:pt idx="36">
                  <c:v>6.5944134597497781</c:v>
                </c:pt>
                <c:pt idx="37">
                  <c:v>6.6554403503676474</c:v>
                </c:pt>
                <c:pt idx="38">
                  <c:v>6.6515718735897273</c:v>
                </c:pt>
                <c:pt idx="39">
                  <c:v>6.6025878921893364</c:v>
                </c:pt>
                <c:pt idx="40">
                  <c:v>6.5652649700353614</c:v>
                </c:pt>
                <c:pt idx="41">
                  <c:v>6.6320017773956303</c:v>
                </c:pt>
                <c:pt idx="42">
                  <c:v>6.6463905148477291</c:v>
                </c:pt>
                <c:pt idx="43">
                  <c:v>6.5581978028122689</c:v>
                </c:pt>
                <c:pt idx="44">
                  <c:v>6.5889264775335192</c:v>
                </c:pt>
                <c:pt idx="45">
                  <c:v>6.6502790485874224</c:v>
                </c:pt>
                <c:pt idx="46">
                  <c:v>6.6346333578616861</c:v>
                </c:pt>
                <c:pt idx="47">
                  <c:v>6.5916737320086582</c:v>
                </c:pt>
                <c:pt idx="48">
                  <c:v>6.5834092221587648</c:v>
                </c:pt>
                <c:pt idx="49">
                  <c:v>6.6605751498396861</c:v>
                </c:pt>
                <c:pt idx="50">
                  <c:v>6.6398758338265358</c:v>
                </c:pt>
                <c:pt idx="51">
                  <c:v>6.5930445341424369</c:v>
                </c:pt>
                <c:pt idx="52">
                  <c:v>6.5680779114119758</c:v>
                </c:pt>
                <c:pt idx="53">
                  <c:v>6.7129562006770698</c:v>
                </c:pt>
                <c:pt idx="54">
                  <c:v>6.6808546787902152</c:v>
                </c:pt>
                <c:pt idx="55">
                  <c:v>6.6080006252960866</c:v>
                </c:pt>
                <c:pt idx="56">
                  <c:v>6.6052979209482015</c:v>
                </c:pt>
                <c:pt idx="57">
                  <c:v>6.6883547139467616</c:v>
                </c:pt>
                <c:pt idx="58">
                  <c:v>6.6592939196836376</c:v>
                </c:pt>
                <c:pt idx="59">
                  <c:v>6.5998704992128365</c:v>
                </c:pt>
                <c:pt idx="60">
                  <c:v>6.6080006252960866</c:v>
                </c:pt>
                <c:pt idx="61">
                  <c:v>6.6933236682699491</c:v>
                </c:pt>
                <c:pt idx="62">
                  <c:v>6.6908422774185636</c:v>
                </c:pt>
                <c:pt idx="63">
                  <c:v>6.6605751498396861</c:v>
                </c:pt>
                <c:pt idx="64">
                  <c:v>6.6160651851328174</c:v>
                </c:pt>
                <c:pt idx="65">
                  <c:v>6.7226297948554485</c:v>
                </c:pt>
                <c:pt idx="66">
                  <c:v>6.7226297948554485</c:v>
                </c:pt>
                <c:pt idx="67">
                  <c:v>6.6106960447177592</c:v>
                </c:pt>
                <c:pt idx="68">
                  <c:v>6.6120410348330916</c:v>
                </c:pt>
                <c:pt idx="69">
                  <c:v>6.6908422774185636</c:v>
                </c:pt>
                <c:pt idx="70">
                  <c:v>6.7226297948554485</c:v>
                </c:pt>
                <c:pt idx="71">
                  <c:v>6.6306833856423717</c:v>
                </c:pt>
                <c:pt idx="72">
                  <c:v>6.6174029779744776</c:v>
                </c:pt>
                <c:pt idx="73">
                  <c:v>6.6656837177824082</c:v>
                </c:pt>
                <c:pt idx="74">
                  <c:v>6.6437897331476723</c:v>
                </c:pt>
                <c:pt idx="75">
                  <c:v>6.6346333578616861</c:v>
                </c:pt>
                <c:pt idx="76">
                  <c:v>6.6346333578616861</c:v>
                </c:pt>
                <c:pt idx="77">
                  <c:v>6.6770834612471361</c:v>
                </c:pt>
                <c:pt idx="78">
                  <c:v>6.7165947735209777</c:v>
                </c:pt>
                <c:pt idx="79">
                  <c:v>6.6214056517641344</c:v>
                </c:pt>
                <c:pt idx="80">
                  <c:v>6.6147256002037604</c:v>
                </c:pt>
                <c:pt idx="81">
                  <c:v>6.678342114654332</c:v>
                </c:pt>
                <c:pt idx="82">
                  <c:v>6.7105231094524278</c:v>
                </c:pt>
                <c:pt idx="83">
                  <c:v>6.6580110458707482</c:v>
                </c:pt>
                <c:pt idx="84">
                  <c:v>6.5861716548546747</c:v>
                </c:pt>
                <c:pt idx="85">
                  <c:v>6.7068623366027467</c:v>
                </c:pt>
                <c:pt idx="86">
                  <c:v>6.7007311095478101</c:v>
                </c:pt>
                <c:pt idx="87">
                  <c:v>6.6253923680079563</c:v>
                </c:pt>
                <c:pt idx="88">
                  <c:v>6.5971457018866513</c:v>
                </c:pt>
                <c:pt idx="89">
                  <c:v>6.7044143549641069</c:v>
                </c:pt>
                <c:pt idx="90">
                  <c:v>6.7310181004820828</c:v>
                </c:pt>
                <c:pt idx="91">
                  <c:v>6.6398758338265358</c:v>
                </c:pt>
                <c:pt idx="92">
                  <c:v>6.6160651851328174</c:v>
                </c:pt>
                <c:pt idx="93">
                  <c:v>6.7165947735209777</c:v>
                </c:pt>
                <c:pt idx="94">
                  <c:v>6.7381524945959574</c:v>
                </c:pt>
                <c:pt idx="95">
                  <c:v>6.6502790485874224</c:v>
                </c:pt>
                <c:pt idx="96">
                  <c:v>6.6293632534374485</c:v>
                </c:pt>
                <c:pt idx="97">
                  <c:v>6.6554403503676474</c:v>
                </c:pt>
                <c:pt idx="98">
                  <c:v>6.6770834612471361</c:v>
                </c:pt>
                <c:pt idx="99">
                  <c:v>6.6567265241783913</c:v>
                </c:pt>
                <c:pt idx="100">
                  <c:v>6.6476883735633292</c:v>
                </c:pt>
                <c:pt idx="101">
                  <c:v>6.7262334023587469</c:v>
                </c:pt>
                <c:pt idx="102">
                  <c:v>6.7417006946520548</c:v>
                </c:pt>
                <c:pt idx="103">
                  <c:v>6.7202201551352951</c:v>
                </c:pt>
                <c:pt idx="104">
                  <c:v>6.6821085974498091</c:v>
                </c:pt>
                <c:pt idx="105">
                  <c:v>6.7557689219842549</c:v>
                </c:pt>
                <c:pt idx="106">
                  <c:v>6.7638849085624351</c:v>
                </c:pt>
                <c:pt idx="107">
                  <c:v>6.6656837177824082</c:v>
                </c:pt>
                <c:pt idx="108">
                  <c:v>6.6554403503676474</c:v>
                </c:pt>
                <c:pt idx="109">
                  <c:v>6.7117403950561796</c:v>
                </c:pt>
                <c:pt idx="110">
                  <c:v>6.7286286130847017</c:v>
                </c:pt>
                <c:pt idx="111">
                  <c:v>6.7105231094524278</c:v>
                </c:pt>
                <c:pt idx="112">
                  <c:v>6.674561391814426</c:v>
                </c:pt>
                <c:pt idx="113">
                  <c:v>6.7286286130847017</c:v>
                </c:pt>
                <c:pt idx="114">
                  <c:v>6.7464121285733745</c:v>
                </c:pt>
                <c:pt idx="115">
                  <c:v>6.6808546787902152</c:v>
                </c:pt>
                <c:pt idx="116">
                  <c:v>6.7310181004820828</c:v>
                </c:pt>
                <c:pt idx="117">
                  <c:v>6.7298240704894754</c:v>
                </c:pt>
                <c:pt idx="118">
                  <c:v>6.7557689219842549</c:v>
                </c:pt>
                <c:pt idx="119">
                  <c:v>6.6871086078665147</c:v>
                </c:pt>
                <c:pt idx="120">
                  <c:v>6.6795991858443831</c:v>
                </c:pt>
                <c:pt idx="121">
                  <c:v>6.7810576259361799</c:v>
                </c:pt>
                <c:pt idx="122">
                  <c:v>6.7250336421668431</c:v>
                </c:pt>
                <c:pt idx="123">
                  <c:v>6.6821085974498091</c:v>
                </c:pt>
                <c:pt idx="124">
                  <c:v>6.7202201551352951</c:v>
                </c:pt>
                <c:pt idx="125">
                  <c:v>6.7900972355139046</c:v>
                </c:pt>
                <c:pt idx="126">
                  <c:v>6.7511014689367599</c:v>
                </c:pt>
                <c:pt idx="127">
                  <c:v>6.7056390948600031</c:v>
                </c:pt>
                <c:pt idx="128">
                  <c:v>6.70196036600254</c:v>
                </c:pt>
                <c:pt idx="129">
                  <c:v>6.7440591863113477</c:v>
                </c:pt>
                <c:pt idx="130">
                  <c:v>6.7417006946520548</c:v>
                </c:pt>
                <c:pt idx="131">
                  <c:v>6.7153833863346808</c:v>
                </c:pt>
                <c:pt idx="132">
                  <c:v>6.692083742506628</c:v>
                </c:pt>
                <c:pt idx="133">
                  <c:v>6.7381524945959574</c:v>
                </c:pt>
                <c:pt idx="134">
                  <c:v>6.7661917146603505</c:v>
                </c:pt>
                <c:pt idx="135">
                  <c:v>6.7274317248508551</c:v>
                </c:pt>
                <c:pt idx="136">
                  <c:v>6.7250336421668431</c:v>
                </c:pt>
                <c:pt idx="137">
                  <c:v>6.7810576259361799</c:v>
                </c:pt>
                <c:pt idx="138">
                  <c:v>6.7945865808764987</c:v>
                </c:pt>
                <c:pt idx="139">
                  <c:v>6.7452363494843626</c:v>
                </c:pt>
                <c:pt idx="140">
                  <c:v>6.7322107064672059</c:v>
                </c:pt>
                <c:pt idx="141">
                  <c:v>6.7855876450079293</c:v>
                </c:pt>
                <c:pt idx="142">
                  <c:v>6.7844570626376433</c:v>
                </c:pt>
                <c:pt idx="143">
                  <c:v>6.694562058521095</c:v>
                </c:pt>
                <c:pt idx="144">
                  <c:v>6.7557689219842549</c:v>
                </c:pt>
                <c:pt idx="145">
                  <c:v>6.816735880594968</c:v>
                </c:pt>
                <c:pt idx="146">
                  <c:v>6.7627295069318789</c:v>
                </c:pt>
                <c:pt idx="147">
                  <c:v>6.7286286130847017</c:v>
                </c:pt>
                <c:pt idx="148">
                  <c:v>6.7080840838530698</c:v>
                </c:pt>
                <c:pt idx="149">
                  <c:v>6.7889717429921701</c:v>
                </c:pt>
                <c:pt idx="150">
                  <c:v>6.7968237182748554</c:v>
                </c:pt>
                <c:pt idx="151">
                  <c:v>6.7546040994879624</c:v>
                </c:pt>
                <c:pt idx="152">
                  <c:v>6.7238324408212087</c:v>
                </c:pt>
                <c:pt idx="153">
                  <c:v>6.7810576259361799</c:v>
                </c:pt>
                <c:pt idx="154">
                  <c:v>6.7889717429921701</c:v>
                </c:pt>
                <c:pt idx="155">
                  <c:v>6.7546040994879624</c:v>
                </c:pt>
                <c:pt idx="156">
                  <c:v>6.7068623366027467</c:v>
                </c:pt>
                <c:pt idx="157">
                  <c:v>6.80128303447162</c:v>
                </c:pt>
                <c:pt idx="158">
                  <c:v>6.8134445995108956</c:v>
                </c:pt>
                <c:pt idx="159">
                  <c:v>6.752270376141742</c:v>
                </c:pt>
                <c:pt idx="160">
                  <c:v>6.7357800142423265</c:v>
                </c:pt>
                <c:pt idx="161">
                  <c:v>6.7979404129749303</c:v>
                </c:pt>
                <c:pt idx="162">
                  <c:v>6.8101424501151362</c:v>
                </c:pt>
                <c:pt idx="163">
                  <c:v>6.7569323892475532</c:v>
                </c:pt>
                <c:pt idx="164">
                  <c:v>6.7475865268293154</c:v>
                </c:pt>
                <c:pt idx="165">
                  <c:v>6.816735880594968</c:v>
                </c:pt>
                <c:pt idx="166">
                  <c:v>6.8490662826334576</c:v>
                </c:pt>
                <c:pt idx="167">
                  <c:v>6.7627295069318789</c:v>
                </c:pt>
                <c:pt idx="168">
                  <c:v>6.7833252006039597</c:v>
                </c:pt>
                <c:pt idx="169">
                  <c:v>6.8079349436999257</c:v>
                </c:pt>
                <c:pt idx="170">
                  <c:v>6.8243736700430864</c:v>
                </c:pt>
                <c:pt idx="171">
                  <c:v>6.815639990074331</c:v>
                </c:pt>
                <c:pt idx="172">
                  <c:v>6.7776465936351169</c:v>
                </c:pt>
                <c:pt idx="173">
                  <c:v>6.831953565565855</c:v>
                </c:pt>
                <c:pt idx="174">
                  <c:v>6.828712071641684</c:v>
                </c:pt>
                <c:pt idx="175">
                  <c:v>6.7923444274708089</c:v>
                </c:pt>
                <c:pt idx="176">
                  <c:v>6.7742238863576141</c:v>
                </c:pt>
                <c:pt idx="177">
                  <c:v>6.8330317327862007</c:v>
                </c:pt>
                <c:pt idx="178">
                  <c:v>6.8362592772770672</c:v>
                </c:pt>
                <c:pt idx="179">
                  <c:v>6.8090393060429797</c:v>
                </c:pt>
                <c:pt idx="180">
                  <c:v>6.7707894239089796</c:v>
                </c:pt>
                <c:pt idx="181">
                  <c:v>6.8200163646741299</c:v>
                </c:pt>
                <c:pt idx="182">
                  <c:v>6.8585650347913649</c:v>
                </c:pt>
                <c:pt idx="183">
                  <c:v>6.7833252006039597</c:v>
                </c:pt>
                <c:pt idx="184">
                  <c:v>6.7730803756555353</c:v>
                </c:pt>
                <c:pt idx="185">
                  <c:v>6.8469431395853793</c:v>
                </c:pt>
                <c:pt idx="186">
                  <c:v>6.8554087986099281</c:v>
                </c:pt>
                <c:pt idx="187">
                  <c:v>6.8511849274937431</c:v>
                </c:pt>
                <c:pt idx="188">
                  <c:v>6.8394764382288429</c:v>
                </c:pt>
                <c:pt idx="189">
                  <c:v>6.9157234486313142</c:v>
                </c:pt>
                <c:pt idx="190">
                  <c:v>6.8721281013389861</c:v>
                </c:pt>
                <c:pt idx="191">
                  <c:v>6.8243736700430864</c:v>
                </c:pt>
                <c:pt idx="192">
                  <c:v>6.7889717429921701</c:v>
                </c:pt>
                <c:pt idx="193">
                  <c:v>6.8803840821860049</c:v>
                </c:pt>
                <c:pt idx="194">
                  <c:v>6.9087547793152204</c:v>
                </c:pt>
                <c:pt idx="195">
                  <c:v>6.8243736700430864</c:v>
                </c:pt>
                <c:pt idx="196">
                  <c:v>6.7889717429921701</c:v>
                </c:pt>
                <c:pt idx="197">
                  <c:v>6.8710912946105456</c:v>
                </c:pt>
                <c:pt idx="198">
                  <c:v>6.8814113036425351</c:v>
                </c:pt>
                <c:pt idx="199">
                  <c:v>6.8232861223556869</c:v>
                </c:pt>
                <c:pt idx="200">
                  <c:v>6.8023947633243109</c:v>
                </c:pt>
                <c:pt idx="201">
                  <c:v>6.8803840821860049</c:v>
                </c:pt>
                <c:pt idx="202">
                  <c:v>6.8721281013389861</c:v>
                </c:pt>
                <c:pt idx="203">
                  <c:v>6.8276292345028518</c:v>
                </c:pt>
                <c:pt idx="204">
                  <c:v>6.799055862058796</c:v>
                </c:pt>
                <c:pt idx="205">
                  <c:v>6.8814113036425351</c:v>
                </c:pt>
                <c:pt idx="206">
                  <c:v>6.8532990931860782</c:v>
                </c:pt>
                <c:pt idx="207">
                  <c:v>6.8437499490062246</c:v>
                </c:pt>
                <c:pt idx="208">
                  <c:v>6.8243736700430864</c:v>
                </c:pt>
                <c:pt idx="209">
                  <c:v>6.8480052745763631</c:v>
                </c:pt>
                <c:pt idx="210">
                  <c:v>6.9027427371585928</c:v>
                </c:pt>
                <c:pt idx="211">
                  <c:v>6.8341087388138382</c:v>
                </c:pt>
                <c:pt idx="212">
                  <c:v>6.8490662826334576</c:v>
                </c:pt>
                <c:pt idx="213">
                  <c:v>6.9295167707636498</c:v>
                </c:pt>
                <c:pt idx="214">
                  <c:v>6.8762646118907664</c:v>
                </c:pt>
                <c:pt idx="215">
                  <c:v>6.8448154792082629</c:v>
                </c:pt>
                <c:pt idx="216">
                  <c:v>6.826545223556594</c:v>
                </c:pt>
                <c:pt idx="217">
                  <c:v>6.8752320872765766</c:v>
                </c:pt>
                <c:pt idx="218">
                  <c:v>6.8906091201471664</c:v>
                </c:pt>
                <c:pt idx="219">
                  <c:v>6.8437499490062246</c:v>
                </c:pt>
                <c:pt idx="220">
                  <c:v>6.815639990074331</c:v>
                </c:pt>
                <c:pt idx="221">
                  <c:v>6.8783264682913252</c:v>
                </c:pt>
                <c:pt idx="222">
                  <c:v>6.8824374709978473</c:v>
                </c:pt>
                <c:pt idx="223">
                  <c:v>6.8480052745763631</c:v>
                </c:pt>
                <c:pt idx="224">
                  <c:v>6.8564619845945867</c:v>
                </c:pt>
                <c:pt idx="225">
                  <c:v>6.9546388648809874</c:v>
                </c:pt>
                <c:pt idx="226">
                  <c:v>6.9137373506596846</c:v>
                </c:pt>
                <c:pt idx="227">
                  <c:v>6.9067547786485539</c:v>
                </c:pt>
                <c:pt idx="228">
                  <c:v>6.8814113036425351</c:v>
                </c:pt>
                <c:pt idx="229">
                  <c:v>6.9186952190204716</c:v>
                </c:pt>
                <c:pt idx="230">
                  <c:v>6.9275579062783166</c:v>
                </c:pt>
                <c:pt idx="231">
                  <c:v>6.879355804460439</c:v>
                </c:pt>
                <c:pt idx="232">
                  <c:v>6.8658910748834385</c:v>
                </c:pt>
                <c:pt idx="233">
                  <c:v>6.9127428204931762</c:v>
                </c:pt>
                <c:pt idx="234">
                  <c:v>6.9546388648809874</c:v>
                </c:pt>
                <c:pt idx="235">
                  <c:v>6.9037472575845982</c:v>
                </c:pt>
                <c:pt idx="236">
                  <c:v>6.8803840821860049</c:v>
                </c:pt>
                <c:pt idx="237">
                  <c:v>6.9246123960485599</c:v>
                </c:pt>
                <c:pt idx="238">
                  <c:v>6.9177056098353047</c:v>
                </c:pt>
                <c:pt idx="239">
                  <c:v>6.8834625864130921</c:v>
                </c:pt>
                <c:pt idx="240">
                  <c:v>6.8987145343299883</c:v>
                </c:pt>
                <c:pt idx="241">
                  <c:v>6.9206715042486833</c:v>
                </c:pt>
                <c:pt idx="242">
                  <c:v>6.9363427358340495</c:v>
                </c:pt>
                <c:pt idx="243">
                  <c:v>6.8814113036425351</c:v>
                </c:pt>
                <c:pt idx="244">
                  <c:v>6.8865316425305103</c:v>
                </c:pt>
                <c:pt idx="245">
                  <c:v>6.9226438914758877</c:v>
                </c:pt>
                <c:pt idx="246">
                  <c:v>6.9285378181646653</c:v>
                </c:pt>
                <c:pt idx="247">
                  <c:v>6.9107507879619359</c:v>
                </c:pt>
                <c:pt idx="248">
                  <c:v>6.9067547786485539</c:v>
                </c:pt>
                <c:pt idx="249">
                  <c:v>6.9285378181646653</c:v>
                </c:pt>
                <c:pt idx="250">
                  <c:v>6.9196838498474111</c:v>
                </c:pt>
                <c:pt idx="251">
                  <c:v>6.8803840821860049</c:v>
                </c:pt>
                <c:pt idx="252">
                  <c:v>6.8741984954532942</c:v>
                </c:pt>
                <c:pt idx="253">
                  <c:v>6.9314718055994531</c:v>
                </c:pt>
                <c:pt idx="254">
                  <c:v>6.9688503783419478</c:v>
                </c:pt>
                <c:pt idx="255">
                  <c:v>6.9077552789821368</c:v>
                </c:pt>
                <c:pt idx="256">
                  <c:v>6.8906091201471664</c:v>
                </c:pt>
                <c:pt idx="257">
                  <c:v>6.9411900550683745</c:v>
                </c:pt>
                <c:pt idx="258">
                  <c:v>6.9527286446248686</c:v>
                </c:pt>
                <c:pt idx="259">
                  <c:v>6.9087547793152204</c:v>
                </c:pt>
                <c:pt idx="260">
                  <c:v>6.9275579062783166</c:v>
                </c:pt>
                <c:pt idx="261">
                  <c:v>6.9828627514689421</c:v>
                </c:pt>
                <c:pt idx="262">
                  <c:v>6.9874902470009905</c:v>
                </c:pt>
                <c:pt idx="263">
                  <c:v>6.9392539460415081</c:v>
                </c:pt>
                <c:pt idx="264">
                  <c:v>6.9498564550007726</c:v>
                </c:pt>
                <c:pt idx="265">
                  <c:v>6.9957661563048505</c:v>
                </c:pt>
                <c:pt idx="266">
                  <c:v>6.9939329752231894</c:v>
                </c:pt>
                <c:pt idx="267">
                  <c:v>6.9754139274559517</c:v>
                </c:pt>
                <c:pt idx="268">
                  <c:v>6.9077552789821368</c:v>
                </c:pt>
                <c:pt idx="269">
                  <c:v>6.9948499858330706</c:v>
                </c:pt>
                <c:pt idx="270">
                  <c:v>6.9902565004938806</c:v>
                </c:pt>
                <c:pt idx="271">
                  <c:v>6.9246123960485599</c:v>
                </c:pt>
                <c:pt idx="272">
                  <c:v>6.9206715042486833</c:v>
                </c:pt>
                <c:pt idx="273">
                  <c:v>6.9688503783419478</c:v>
                </c:pt>
                <c:pt idx="274">
                  <c:v>6.9884131819995918</c:v>
                </c:pt>
                <c:pt idx="275">
                  <c:v>6.9216581841511289</c:v>
                </c:pt>
                <c:pt idx="276">
                  <c:v>6.9047507699618382</c:v>
                </c:pt>
                <c:pt idx="277">
                  <c:v>7.00033446027523</c:v>
                </c:pt>
                <c:pt idx="278">
                  <c:v>7.0048819897128594</c:v>
                </c:pt>
                <c:pt idx="279">
                  <c:v>6.9255951971104679</c:v>
                </c:pt>
                <c:pt idx="280">
                  <c:v>6.9246123960485599</c:v>
                </c:pt>
                <c:pt idx="281">
                  <c:v>6.9744789110250451</c:v>
                </c:pt>
                <c:pt idx="282">
                  <c:v>7.0121152943063798</c:v>
                </c:pt>
                <c:pt idx="283">
                  <c:v>6.9874902470009905</c:v>
                </c:pt>
              </c:numCache>
            </c:numRef>
          </c:xVal>
          <c:yVal>
            <c:numRef>
              <c:f>Data45!$G$2:$G$285</c:f>
              <c:numCache>
                <c:formatCode>General</c:formatCode>
                <c:ptCount val="284"/>
                <c:pt idx="0">
                  <c:v>6.5834092221587648</c:v>
                </c:pt>
                <c:pt idx="1">
                  <c:v>6.6012301187288767</c:v>
                </c:pt>
                <c:pt idx="2">
                  <c:v>6.5027900459156234</c:v>
                </c:pt>
                <c:pt idx="3">
                  <c:v>6.5638555265321274</c:v>
                </c:pt>
                <c:pt idx="4">
                  <c:v>6.6187389835172192</c:v>
                </c:pt>
                <c:pt idx="5">
                  <c:v>6.6280413761795334</c:v>
                </c:pt>
                <c:pt idx="6">
                  <c:v>6.5366915975913047</c:v>
                </c:pt>
                <c:pt idx="7">
                  <c:v>6.5957805139613113</c:v>
                </c:pt>
                <c:pt idx="8">
                  <c:v>6.6372580312844569</c:v>
                </c:pt>
                <c:pt idx="9">
                  <c:v>6.6489845500247764</c:v>
                </c:pt>
                <c:pt idx="10">
                  <c:v>6.5652649700353614</c:v>
                </c:pt>
                <c:pt idx="11">
                  <c:v>6.6025878921893364</c:v>
                </c:pt>
                <c:pt idx="12">
                  <c:v>6.6476883735633292</c:v>
                </c:pt>
                <c:pt idx="13">
                  <c:v>6.6631326959908028</c:v>
                </c:pt>
                <c:pt idx="14">
                  <c:v>6.5834092221587648</c:v>
                </c:pt>
                <c:pt idx="15">
                  <c:v>6.6515718735897273</c:v>
                </c:pt>
                <c:pt idx="16">
                  <c:v>6.6808546787902152</c:v>
                </c:pt>
                <c:pt idx="17">
                  <c:v>6.6982680541154132</c:v>
                </c:pt>
                <c:pt idx="18">
                  <c:v>6.5916737320086582</c:v>
                </c:pt>
                <c:pt idx="19">
                  <c:v>6.6320017773956303</c:v>
                </c:pt>
                <c:pt idx="20">
                  <c:v>6.6758232216348476</c:v>
                </c:pt>
                <c:pt idx="21">
                  <c:v>6.694562058521095</c:v>
                </c:pt>
                <c:pt idx="22">
                  <c:v>6.5985090286145152</c:v>
                </c:pt>
                <c:pt idx="23">
                  <c:v>6.6605751498396861</c:v>
                </c:pt>
                <c:pt idx="24">
                  <c:v>6.7105231094524278</c:v>
                </c:pt>
                <c:pt idx="25">
                  <c:v>6.7178046950236912</c:v>
                </c:pt>
                <c:pt idx="26">
                  <c:v>6.6320017773956303</c:v>
                </c:pt>
                <c:pt idx="27">
                  <c:v>6.6656837177824082</c:v>
                </c:pt>
                <c:pt idx="28">
                  <c:v>6.7129562006770698</c:v>
                </c:pt>
                <c:pt idx="29">
                  <c:v>6.7274317248508551</c:v>
                </c:pt>
                <c:pt idx="30">
                  <c:v>6.6463905148477291</c:v>
                </c:pt>
                <c:pt idx="31">
                  <c:v>6.6895992691789665</c:v>
                </c:pt>
                <c:pt idx="32">
                  <c:v>6.7345916599729483</c:v>
                </c:pt>
                <c:pt idx="33">
                  <c:v>6.739336627357174</c:v>
                </c:pt>
                <c:pt idx="34">
                  <c:v>6.6567265241783913</c:v>
                </c:pt>
                <c:pt idx="35">
                  <c:v>6.7190131543852596</c:v>
                </c:pt>
                <c:pt idx="36">
                  <c:v>6.7511014689367599</c:v>
                </c:pt>
                <c:pt idx="37">
                  <c:v>6.7615727688040552</c:v>
                </c:pt>
                <c:pt idx="38">
                  <c:v>6.6883547139467616</c:v>
                </c:pt>
                <c:pt idx="39">
                  <c:v>6.7286286130847017</c:v>
                </c:pt>
                <c:pt idx="40">
                  <c:v>6.7661917146603505</c:v>
                </c:pt>
                <c:pt idx="41">
                  <c:v>6.7900972355139046</c:v>
                </c:pt>
                <c:pt idx="42">
                  <c:v>6.7129562006770698</c:v>
                </c:pt>
                <c:pt idx="43">
                  <c:v>6.7487595474916793</c:v>
                </c:pt>
                <c:pt idx="44">
                  <c:v>6.7799219074722519</c:v>
                </c:pt>
                <c:pt idx="45">
                  <c:v>6.7855876450079293</c:v>
                </c:pt>
                <c:pt idx="46">
                  <c:v>6.7007311095478101</c:v>
                </c:pt>
                <c:pt idx="47">
                  <c:v>6.739336627357174</c:v>
                </c:pt>
                <c:pt idx="48">
                  <c:v>6.7787848976851768</c:v>
                </c:pt>
                <c:pt idx="49">
                  <c:v>6.80128303447162</c:v>
                </c:pt>
                <c:pt idx="50">
                  <c:v>6.7238324408212087</c:v>
                </c:pt>
                <c:pt idx="51">
                  <c:v>6.7592552706636928</c:v>
                </c:pt>
                <c:pt idx="52">
                  <c:v>6.7945865808764987</c:v>
                </c:pt>
                <c:pt idx="53">
                  <c:v>6.8145428972599582</c:v>
                </c:pt>
                <c:pt idx="54">
                  <c:v>6.75343791859778</c:v>
                </c:pt>
                <c:pt idx="55">
                  <c:v>6.799055862058796</c:v>
                </c:pt>
                <c:pt idx="56">
                  <c:v>6.8254600362553068</c:v>
                </c:pt>
                <c:pt idx="57">
                  <c:v>6.842683282238422</c:v>
                </c:pt>
                <c:pt idx="58">
                  <c:v>6.7719355558396019</c:v>
                </c:pt>
                <c:pt idx="59">
                  <c:v>6.8211074722564646</c:v>
                </c:pt>
                <c:pt idx="60">
                  <c:v>6.8585650347913649</c:v>
                </c:pt>
                <c:pt idx="61">
                  <c:v>6.8617113404807304</c:v>
                </c:pt>
                <c:pt idx="62">
                  <c:v>6.7923444274708089</c:v>
                </c:pt>
                <c:pt idx="63">
                  <c:v>6.8221973906204907</c:v>
                </c:pt>
                <c:pt idx="64">
                  <c:v>6.8596149036542018</c:v>
                </c:pt>
                <c:pt idx="65">
                  <c:v>6.8731638342125176</c:v>
                </c:pt>
                <c:pt idx="66">
                  <c:v>6.7945865808764987</c:v>
                </c:pt>
                <c:pt idx="67">
                  <c:v>6.826545223556594</c:v>
                </c:pt>
                <c:pt idx="68">
                  <c:v>6.8585650347913649</c:v>
                </c:pt>
                <c:pt idx="69">
                  <c:v>6.8700534117981258</c:v>
                </c:pt>
                <c:pt idx="70">
                  <c:v>6.8079349436999257</c:v>
                </c:pt>
                <c:pt idx="71">
                  <c:v>6.831953565565855</c:v>
                </c:pt>
                <c:pt idx="72">
                  <c:v>6.8721281013389861</c:v>
                </c:pt>
                <c:pt idx="73">
                  <c:v>6.8916258970522533</c:v>
                </c:pt>
                <c:pt idx="74">
                  <c:v>6.8101424501151362</c:v>
                </c:pt>
                <c:pt idx="75">
                  <c:v>6.8448154792082629</c:v>
                </c:pt>
                <c:pt idx="76">
                  <c:v>6.8710912946105456</c:v>
                </c:pt>
                <c:pt idx="77">
                  <c:v>6.8895913083544658</c:v>
                </c:pt>
                <c:pt idx="78">
                  <c:v>6.8178305714541496</c:v>
                </c:pt>
                <c:pt idx="79">
                  <c:v>6.8596149036542018</c:v>
                </c:pt>
                <c:pt idx="80">
                  <c:v>6.8855096700348177</c:v>
                </c:pt>
                <c:pt idx="81">
                  <c:v>6.8956826977478682</c:v>
                </c:pt>
                <c:pt idx="82">
                  <c:v>6.8145428972599582</c:v>
                </c:pt>
                <c:pt idx="83">
                  <c:v>6.8543545022550214</c:v>
                </c:pt>
                <c:pt idx="84">
                  <c:v>6.8946700394334819</c:v>
                </c:pt>
                <c:pt idx="85">
                  <c:v>6.8997231072848724</c:v>
                </c:pt>
                <c:pt idx="86">
                  <c:v>6.8221973906204907</c:v>
                </c:pt>
                <c:pt idx="87">
                  <c:v>6.8741984954532942</c:v>
                </c:pt>
                <c:pt idx="88">
                  <c:v>6.9236286281384274</c:v>
                </c:pt>
                <c:pt idx="89">
                  <c:v>6.9411900550683745</c:v>
                </c:pt>
                <c:pt idx="90">
                  <c:v>6.8658910748834385</c:v>
                </c:pt>
                <c:pt idx="91">
                  <c:v>6.9027427371585928</c:v>
                </c:pt>
                <c:pt idx="92">
                  <c:v>6.9343972099285578</c:v>
                </c:pt>
                <c:pt idx="93">
                  <c:v>6.9469759921354184</c:v>
                </c:pt>
                <c:pt idx="94">
                  <c:v>6.8731638342125176</c:v>
                </c:pt>
                <c:pt idx="95">
                  <c:v>6.8997231072848724</c:v>
                </c:pt>
                <c:pt idx="96">
                  <c:v>6.9460139910992273</c:v>
                </c:pt>
                <c:pt idx="97">
                  <c:v>6.9555926083962971</c:v>
                </c:pt>
                <c:pt idx="98">
                  <c:v>6.8977049431286357</c:v>
                </c:pt>
                <c:pt idx="99">
                  <c:v>6.9334230257307148</c:v>
                </c:pt>
                <c:pt idx="100">
                  <c:v>6.9612960459101672</c:v>
                </c:pt>
                <c:pt idx="101">
                  <c:v>6.9631899858702377</c:v>
                </c:pt>
                <c:pt idx="102">
                  <c:v>6.8895913083544658</c:v>
                </c:pt>
                <c:pt idx="103">
                  <c:v>6.9107507879619359</c:v>
                </c:pt>
                <c:pt idx="104">
                  <c:v>6.9517721643989114</c:v>
                </c:pt>
                <c:pt idx="105">
                  <c:v>6.9527286446248686</c:v>
                </c:pt>
                <c:pt idx="106">
                  <c:v>6.8906091201471664</c:v>
                </c:pt>
                <c:pt idx="107">
                  <c:v>6.9334230257307148</c:v>
                </c:pt>
                <c:pt idx="108">
                  <c:v>6.9584483932976555</c:v>
                </c:pt>
                <c:pt idx="109">
                  <c:v>6.9688503783419478</c:v>
                </c:pt>
                <c:pt idx="110">
                  <c:v>6.9037472575845982</c:v>
                </c:pt>
                <c:pt idx="111">
                  <c:v>6.9440872082295275</c:v>
                </c:pt>
                <c:pt idx="112">
                  <c:v>6.9847163201182658</c:v>
                </c:pt>
                <c:pt idx="113">
                  <c:v>6.9902565004938806</c:v>
                </c:pt>
                <c:pt idx="114">
                  <c:v>6.9077552789821368</c:v>
                </c:pt>
                <c:pt idx="115">
                  <c:v>6.9421567056994693</c:v>
                </c:pt>
                <c:pt idx="116">
                  <c:v>6.9641356124182447</c:v>
                </c:pt>
                <c:pt idx="117">
                  <c:v>6.9856418176392081</c:v>
                </c:pt>
                <c:pt idx="118">
                  <c:v>6.9314718055994531</c:v>
                </c:pt>
                <c:pt idx="119">
                  <c:v>6.9612960459101672</c:v>
                </c:pt>
                <c:pt idx="120">
                  <c:v>6.9957661563048505</c:v>
                </c:pt>
                <c:pt idx="121">
                  <c:v>7.0094089327086371</c:v>
                </c:pt>
                <c:pt idx="122">
                  <c:v>6.953684210870537</c:v>
                </c:pt>
                <c:pt idx="123">
                  <c:v>6.9679092018018842</c:v>
                </c:pt>
                <c:pt idx="124">
                  <c:v>6.9966814881765389</c:v>
                </c:pt>
                <c:pt idx="125">
                  <c:v>6.9994224675079613</c:v>
                </c:pt>
                <c:pt idx="126">
                  <c:v>6.9343972099285578</c:v>
                </c:pt>
                <c:pt idx="127">
                  <c:v>6.9612960459101672</c:v>
                </c:pt>
                <c:pt idx="128">
                  <c:v>6.9948499858330706</c:v>
                </c:pt>
                <c:pt idx="129">
                  <c:v>7.0130157896396303</c:v>
                </c:pt>
                <c:pt idx="130">
                  <c:v>6.9584483932976555</c:v>
                </c:pt>
                <c:pt idx="131">
                  <c:v>6.9911768871212097</c:v>
                </c:pt>
                <c:pt idx="132">
                  <c:v>7.0299729117063858</c:v>
                </c:pt>
                <c:pt idx="133">
                  <c:v>7.0414116637948103</c:v>
                </c:pt>
                <c:pt idx="134">
                  <c:v>6.9744789110250451</c:v>
                </c:pt>
                <c:pt idx="135">
                  <c:v>7.00033446027523</c:v>
                </c:pt>
                <c:pt idx="136">
                  <c:v>7.0290875641496617</c:v>
                </c:pt>
                <c:pt idx="137">
                  <c:v>7.0457765768795113</c:v>
                </c:pt>
                <c:pt idx="138">
                  <c:v>6.9828627514689421</c:v>
                </c:pt>
                <c:pt idx="139">
                  <c:v>7.0166096838942194</c:v>
                </c:pt>
                <c:pt idx="140">
                  <c:v>7.0535857271936768</c:v>
                </c:pt>
                <c:pt idx="141">
                  <c:v>7.0535857271936768</c:v>
                </c:pt>
                <c:pt idx="142">
                  <c:v>6.9902565004938806</c:v>
                </c:pt>
                <c:pt idx="143">
                  <c:v>7.0290875641496617</c:v>
                </c:pt>
                <c:pt idx="144">
                  <c:v>7.0501225202690589</c:v>
                </c:pt>
                <c:pt idx="145">
                  <c:v>7.0561752841004104</c:v>
                </c:pt>
                <c:pt idx="146">
                  <c:v>6.9957661563048505</c:v>
                </c:pt>
                <c:pt idx="147">
                  <c:v>7.0326242610280065</c:v>
                </c:pt>
                <c:pt idx="148">
                  <c:v>7.0527210492323231</c:v>
                </c:pt>
                <c:pt idx="149">
                  <c:v>7.0587581525186645</c:v>
                </c:pt>
                <c:pt idx="150">
                  <c:v>6.9920964274158877</c:v>
                </c:pt>
                <c:pt idx="151">
                  <c:v>7.0246490304536362</c:v>
                </c:pt>
                <c:pt idx="152">
                  <c:v>7.0466472778487557</c:v>
                </c:pt>
                <c:pt idx="153">
                  <c:v>7.0596176282913827</c:v>
                </c:pt>
                <c:pt idx="154">
                  <c:v>6.9994224675079613</c:v>
                </c:pt>
                <c:pt idx="155">
                  <c:v>7.0237589547384429</c:v>
                </c:pt>
                <c:pt idx="156">
                  <c:v>7.0457765768795113</c:v>
                </c:pt>
                <c:pt idx="157">
                  <c:v>7.0578979374118562</c:v>
                </c:pt>
                <c:pt idx="158">
                  <c:v>7.0094089327086371</c:v>
                </c:pt>
                <c:pt idx="159">
                  <c:v>7.0414116637948103</c:v>
                </c:pt>
                <c:pt idx="160">
                  <c:v>7.0724219005373712</c:v>
                </c:pt>
                <c:pt idx="161">
                  <c:v>7.0690234265782594</c:v>
                </c:pt>
                <c:pt idx="162">
                  <c:v>7.0030654587864616</c:v>
                </c:pt>
                <c:pt idx="163">
                  <c:v>7.0370276146862762</c:v>
                </c:pt>
                <c:pt idx="164">
                  <c:v>7.0664669701369576</c:v>
                </c:pt>
                <c:pt idx="165">
                  <c:v>7.0842264220979159</c:v>
                </c:pt>
                <c:pt idx="166">
                  <c:v>7.026426808699636</c:v>
                </c:pt>
                <c:pt idx="167">
                  <c:v>7.0518556229558937</c:v>
                </c:pt>
                <c:pt idx="168">
                  <c:v>7.0817085861055746</c:v>
                </c:pt>
                <c:pt idx="169">
                  <c:v>7.0900768357760917</c:v>
                </c:pt>
                <c:pt idx="170">
                  <c:v>7.0326242610280065</c:v>
                </c:pt>
                <c:pt idx="171">
                  <c:v>7.0613343669104376</c:v>
                </c:pt>
                <c:pt idx="172">
                  <c:v>7.0842264220979159</c:v>
                </c:pt>
                <c:pt idx="173">
                  <c:v>7.0942348459247553</c:v>
                </c:pt>
                <c:pt idx="174">
                  <c:v>7.0308574761161209</c:v>
                </c:pt>
                <c:pt idx="175">
                  <c:v>7.0527210492323231</c:v>
                </c:pt>
                <c:pt idx="176">
                  <c:v>7.0749631979660439</c:v>
                </c:pt>
                <c:pt idx="177">
                  <c:v>7.0817085861055746</c:v>
                </c:pt>
                <c:pt idx="178">
                  <c:v>7.0175061429412562</c:v>
                </c:pt>
                <c:pt idx="179">
                  <c:v>7.0596176282913827</c:v>
                </c:pt>
                <c:pt idx="180">
                  <c:v>7.0825485693552999</c:v>
                </c:pt>
                <c:pt idx="181">
                  <c:v>7.0992017435530919</c:v>
                </c:pt>
                <c:pt idx="182">
                  <c:v>7.0570369816978911</c:v>
                </c:pt>
                <c:pt idx="183">
                  <c:v>7.0850642939525477</c:v>
                </c:pt>
                <c:pt idx="184">
                  <c:v>7.1049654482698426</c:v>
                </c:pt>
                <c:pt idx="185">
                  <c:v>7.1212524532445416</c:v>
                </c:pt>
                <c:pt idx="186">
                  <c:v>7.0587581525186645</c:v>
                </c:pt>
                <c:pt idx="187">
                  <c:v>7.0892431550275141</c:v>
                </c:pt>
                <c:pt idx="188">
                  <c:v>7.110696122978827</c:v>
                </c:pt>
                <c:pt idx="189">
                  <c:v>7.1212524532445416</c:v>
                </c:pt>
                <c:pt idx="190">
                  <c:v>7.0673198486534758</c:v>
                </c:pt>
                <c:pt idx="191">
                  <c:v>7.0925737159746784</c:v>
                </c:pt>
                <c:pt idx="192">
                  <c:v>7.122866658599083</c:v>
                </c:pt>
                <c:pt idx="193">
                  <c:v>7.1380730340443472</c:v>
                </c:pt>
                <c:pt idx="194">
                  <c:v>7.0800264999225906</c:v>
                </c:pt>
                <c:pt idx="195">
                  <c:v>7.1049654482698426</c:v>
                </c:pt>
                <c:pt idx="196">
                  <c:v>7.1324975516600437</c:v>
                </c:pt>
                <c:pt idx="197">
                  <c:v>7.1412451223504911</c:v>
                </c:pt>
                <c:pt idx="198">
                  <c:v>7.0783415795576712</c:v>
                </c:pt>
                <c:pt idx="199">
                  <c:v>7.0975488506147926</c:v>
                </c:pt>
                <c:pt idx="200">
                  <c:v>7.1276936993473985</c:v>
                </c:pt>
                <c:pt idx="201">
                  <c:v>7.1356873470281439</c:v>
                </c:pt>
                <c:pt idx="202">
                  <c:v>7.0783415795576712</c:v>
                </c:pt>
                <c:pt idx="203">
                  <c:v>7.1066061377273027</c:v>
                </c:pt>
                <c:pt idx="204">
                  <c:v>7.1404530431011581</c:v>
                </c:pt>
                <c:pt idx="205">
                  <c:v>7.1507014575925263</c:v>
                </c:pt>
                <c:pt idx="206">
                  <c:v>7.0900768357760917</c:v>
                </c:pt>
                <c:pt idx="207">
                  <c:v>7.1204443723924875</c:v>
                </c:pt>
                <c:pt idx="208">
                  <c:v>7.1444071803211386</c:v>
                </c:pt>
                <c:pt idx="209">
                  <c:v>7.1444071803211386</c:v>
                </c:pt>
                <c:pt idx="210">
                  <c:v>7.0884087786753947</c:v>
                </c:pt>
                <c:pt idx="211">
                  <c:v>7.1123274447109113</c:v>
                </c:pt>
                <c:pt idx="212">
                  <c:v>7.1428274011616208</c:v>
                </c:pt>
                <c:pt idx="213">
                  <c:v>7.1499168361321086</c:v>
                </c:pt>
                <c:pt idx="214">
                  <c:v>7.1008519089440503</c:v>
                </c:pt>
                <c:pt idx="215">
                  <c:v>7.1220598816291423</c:v>
                </c:pt>
                <c:pt idx="216">
                  <c:v>7.1491315985574069</c:v>
                </c:pt>
                <c:pt idx="217">
                  <c:v>7.1569563646156364</c:v>
                </c:pt>
                <c:pt idx="218">
                  <c:v>7.1033220625261126</c:v>
                </c:pt>
                <c:pt idx="219">
                  <c:v>7.1268908088988079</c:v>
                </c:pt>
                <c:pt idx="220">
                  <c:v>7.1451961349971711</c:v>
                </c:pt>
                <c:pt idx="221">
                  <c:v>7.1467721794526371</c:v>
                </c:pt>
                <c:pt idx="222">
                  <c:v>7.0967213784947605</c:v>
                </c:pt>
                <c:pt idx="223">
                  <c:v>7.1236727852046071</c:v>
                </c:pt>
                <c:pt idx="224">
                  <c:v>7.1522688560325394</c:v>
                </c:pt>
                <c:pt idx="225">
                  <c:v>7.161622002939187</c:v>
                </c:pt>
                <c:pt idx="226">
                  <c:v>7.1057861294812712</c:v>
                </c:pt>
                <c:pt idx="227">
                  <c:v>7.1276936993473985</c:v>
                </c:pt>
                <c:pt idx="228">
                  <c:v>7.1522688560325394</c:v>
                </c:pt>
                <c:pt idx="229">
                  <c:v>7.1569563646156364</c:v>
                </c:pt>
                <c:pt idx="230">
                  <c:v>7.1024993557746487</c:v>
                </c:pt>
                <c:pt idx="231">
                  <c:v>7.1276936993473985</c:v>
                </c:pt>
                <c:pt idx="232">
                  <c:v>7.1483457439000677</c:v>
                </c:pt>
                <c:pt idx="233">
                  <c:v>7.1569563646156364</c:v>
                </c:pt>
                <c:pt idx="234">
                  <c:v>7.1049654482698426</c:v>
                </c:pt>
                <c:pt idx="235">
                  <c:v>7.1220598816291423</c:v>
                </c:pt>
                <c:pt idx="236">
                  <c:v>7.1592919047975645</c:v>
                </c:pt>
                <c:pt idx="237">
                  <c:v>7.1647203787718574</c:v>
                </c:pt>
                <c:pt idx="238">
                  <c:v>7.1196356380176358</c:v>
                </c:pt>
                <c:pt idx="239">
                  <c:v>7.1380730340443472</c:v>
                </c:pt>
                <c:pt idx="240">
                  <c:v>7.153833801578843</c:v>
                </c:pt>
                <c:pt idx="241">
                  <c:v>7.1662659741336379</c:v>
                </c:pt>
                <c:pt idx="242">
                  <c:v>7.1123274447109113</c:v>
                </c:pt>
                <c:pt idx="243">
                  <c:v>7.1444071803211386</c:v>
                </c:pt>
                <c:pt idx="244">
                  <c:v>7.1639466843425472</c:v>
                </c:pt>
                <c:pt idx="245">
                  <c:v>7.1639466843425472</c:v>
                </c:pt>
                <c:pt idx="246">
                  <c:v>7.110696122978827</c:v>
                </c:pt>
                <c:pt idx="247">
                  <c:v>7.134890851565884</c:v>
                </c:pt>
                <c:pt idx="248">
                  <c:v>7.167809184316444</c:v>
                </c:pt>
                <c:pt idx="249">
                  <c:v>7.1762545320171442</c:v>
                </c:pt>
                <c:pt idx="250">
                  <c:v>7.1236727852046071</c:v>
                </c:pt>
                <c:pt idx="251">
                  <c:v>7.1483457439000677</c:v>
                </c:pt>
                <c:pt idx="252">
                  <c:v>7.1739583197567942</c:v>
                </c:pt>
                <c:pt idx="253">
                  <c:v>7.1823521118852627</c:v>
                </c:pt>
                <c:pt idx="254">
                  <c:v>7.1356873470281439</c:v>
                </c:pt>
                <c:pt idx="255">
                  <c:v>7.1654934750608454</c:v>
                </c:pt>
                <c:pt idx="256">
                  <c:v>7.1921820587132457</c:v>
                </c:pt>
                <c:pt idx="257">
                  <c:v>7.1929342212157996</c:v>
                </c:pt>
                <c:pt idx="258">
                  <c:v>7.1475592711894542</c:v>
                </c:pt>
                <c:pt idx="259">
                  <c:v>7.1647203787718574</c:v>
                </c:pt>
                <c:pt idx="260">
                  <c:v>7.1921820587132457</c:v>
                </c:pt>
                <c:pt idx="261">
                  <c:v>7.1974353540965907</c:v>
                </c:pt>
                <c:pt idx="262">
                  <c:v>7.1428274011616208</c:v>
                </c:pt>
                <c:pt idx="263">
                  <c:v>7.1647203787718574</c:v>
                </c:pt>
                <c:pt idx="264">
                  <c:v>7.191429330036379</c:v>
                </c:pt>
                <c:pt idx="265">
                  <c:v>7.1996783456911722</c:v>
                </c:pt>
                <c:pt idx="266">
                  <c:v>7.1372784372603855</c:v>
                </c:pt>
                <c:pt idx="267">
                  <c:v>7.1662659741336379</c:v>
                </c:pt>
                <c:pt idx="268">
                  <c:v>7.1921820587132457</c:v>
                </c:pt>
                <c:pt idx="269">
                  <c:v>7.2048925102046733</c:v>
                </c:pt>
                <c:pt idx="270">
                  <c:v>7.1491315985574069</c:v>
                </c:pt>
                <c:pt idx="271">
                  <c:v>7.179307969504034</c:v>
                </c:pt>
                <c:pt idx="272">
                  <c:v>7.2041492920359396</c:v>
                </c:pt>
                <c:pt idx="273">
                  <c:v>7.2056351764103637</c:v>
                </c:pt>
                <c:pt idx="274">
                  <c:v>7.1522688560325394</c:v>
                </c:pt>
                <c:pt idx="275">
                  <c:v>7.1762545320171442</c:v>
                </c:pt>
                <c:pt idx="276">
                  <c:v>7.1974353540965907</c:v>
                </c:pt>
                <c:pt idx="277">
                  <c:v>7.2026611965232377</c:v>
                </c:pt>
                <c:pt idx="278">
                  <c:v>7.1553963018967339</c:v>
                </c:pt>
                <c:pt idx="279">
                  <c:v>7.1846291527173145</c:v>
                </c:pt>
                <c:pt idx="280">
                  <c:v>7.2130316598348694</c:v>
                </c:pt>
                <c:pt idx="281">
                  <c:v>7.2312870043276156</c:v>
                </c:pt>
                <c:pt idx="282">
                  <c:v>7.1838707150624526</c:v>
                </c:pt>
                <c:pt idx="283">
                  <c:v>7.200424892944957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F-4FBE-A87E-7ED453F2C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620864"/>
        <c:axId val="1195620032"/>
      </c:scatterChart>
      <c:valAx>
        <c:axId val="1195620864"/>
        <c:scaling>
          <c:orientation val="minMax"/>
          <c:min val="6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20032"/>
        <c:crosses val="autoZero"/>
        <c:crossBetween val="midCat"/>
      </c:valAx>
      <c:valAx>
        <c:axId val="11956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2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Comovement Between</a:t>
            </a:r>
            <a:r>
              <a:rPr lang="en-CA" baseline="0"/>
              <a:t> the Cyclical Components of Data 150 and Data 45 Consumption Expenditure: Log Scale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Data150!$O$4:$O$283</c:f>
              <c:numCache>
                <c:formatCode>0.000</c:formatCode>
                <c:ptCount val="280"/>
                <c:pt idx="0">
                  <c:v>-2.1083833293868003E-2</c:v>
                </c:pt>
                <c:pt idx="1">
                  <c:v>-1.500689070939174E-2</c:v>
                </c:pt>
                <c:pt idx="2">
                  <c:v>-1.0699122716114928E-2</c:v>
                </c:pt>
                <c:pt idx="3">
                  <c:v>-1.9528078927305969E-2</c:v>
                </c:pt>
                <c:pt idx="4">
                  <c:v>-9.8951105973290147E-3</c:v>
                </c:pt>
                <c:pt idx="5">
                  <c:v>7.0975019404283298E-3</c:v>
                </c:pt>
                <c:pt idx="6">
                  <c:v>4.332307494917309E-3</c:v>
                </c:pt>
                <c:pt idx="7">
                  <c:v>-5.3988869056926349E-3</c:v>
                </c:pt>
                <c:pt idx="8">
                  <c:v>-1.0920096788833433E-2</c:v>
                </c:pt>
                <c:pt idx="9">
                  <c:v>-8.4080824755924152E-3</c:v>
                </c:pt>
                <c:pt idx="10">
                  <c:v>-1.0651630213144258E-2</c:v>
                </c:pt>
                <c:pt idx="11">
                  <c:v>-2.5934140038914321E-2</c:v>
                </c:pt>
                <c:pt idx="12">
                  <c:v>-2.3852206309716451E-2</c:v>
                </c:pt>
                <c:pt idx="13">
                  <c:v>-3.5939350950258131E-3</c:v>
                </c:pt>
                <c:pt idx="14">
                  <c:v>-6.9505358561874784E-3</c:v>
                </c:pt>
                <c:pt idx="15">
                  <c:v>-1.7237015290305812E-2</c:v>
                </c:pt>
                <c:pt idx="16">
                  <c:v>-1.0037000815927755E-2</c:v>
                </c:pt>
                <c:pt idx="17">
                  <c:v>4.8712390444023866E-3</c:v>
                </c:pt>
                <c:pt idx="18">
                  <c:v>3.7265371339081808E-3</c:v>
                </c:pt>
                <c:pt idx="19">
                  <c:v>1.4736425612889904E-3</c:v>
                </c:pt>
                <c:pt idx="20">
                  <c:v>9.3745051712996737E-4</c:v>
                </c:pt>
                <c:pt idx="21">
                  <c:v>7.5084702598118723E-3</c:v>
                </c:pt>
                <c:pt idx="22">
                  <c:v>1.0559227276275784E-2</c:v>
                </c:pt>
                <c:pt idx="23">
                  <c:v>-4.0094743649028431E-4</c:v>
                </c:pt>
                <c:pt idx="24">
                  <c:v>-7.5151937063829164E-3</c:v>
                </c:pt>
                <c:pt idx="25">
                  <c:v>1.0765298965936232E-2</c:v>
                </c:pt>
                <c:pt idx="26">
                  <c:v>2.0374303275921511E-2</c:v>
                </c:pt>
                <c:pt idx="27">
                  <c:v>5.2502846626641285E-3</c:v>
                </c:pt>
                <c:pt idx="28">
                  <c:v>-6.4861536423171271E-3</c:v>
                </c:pt>
                <c:pt idx="29">
                  <c:v>1.3455016297847244E-2</c:v>
                </c:pt>
                <c:pt idx="30">
                  <c:v>1.2562201824672315E-2</c:v>
                </c:pt>
                <c:pt idx="31">
                  <c:v>-1.5115341546938054E-3</c:v>
                </c:pt>
                <c:pt idx="32">
                  <c:v>3.7681226831587367E-4</c:v>
                </c:pt>
                <c:pt idx="33">
                  <c:v>2.5623471366113294E-2</c:v>
                </c:pt>
                <c:pt idx="34">
                  <c:v>2.5236114413849719E-2</c:v>
                </c:pt>
                <c:pt idx="35">
                  <c:v>1.7928931312964736E-2</c:v>
                </c:pt>
                <c:pt idx="36">
                  <c:v>9.5826420588783993E-3</c:v>
                </c:pt>
                <c:pt idx="37">
                  <c:v>1.5674344810494567E-2</c:v>
                </c:pt>
                <c:pt idx="38">
                  <c:v>1.2437639569995084E-2</c:v>
                </c:pt>
                <c:pt idx="39">
                  <c:v>-7.6646900809775433E-3</c:v>
                </c:pt>
                <c:pt idx="40">
                  <c:v>-1.1825265866584899E-2</c:v>
                </c:pt>
                <c:pt idx="41">
                  <c:v>3.7484796304211089E-3</c:v>
                </c:pt>
                <c:pt idx="42">
                  <c:v>2.8449481512623719E-3</c:v>
                </c:pt>
                <c:pt idx="43">
                  <c:v>-9.5290333478860838E-3</c:v>
                </c:pt>
                <c:pt idx="44">
                  <c:v>-5.9181517688834621E-3</c:v>
                </c:pt>
                <c:pt idx="45">
                  <c:v>6.9794030430903927E-3</c:v>
                </c:pt>
                <c:pt idx="46">
                  <c:v>3.4658030826891562E-3</c:v>
                </c:pt>
                <c:pt idx="47">
                  <c:v>-6.285696028348298E-3</c:v>
                </c:pt>
                <c:pt idx="48">
                  <c:v>-1.2439371873834659E-2</c:v>
                </c:pt>
                <c:pt idx="49">
                  <c:v>1.2034734744712061E-2</c:v>
                </c:pt>
                <c:pt idx="50">
                  <c:v>1.4654574090739914E-2</c:v>
                </c:pt>
                <c:pt idx="51">
                  <c:v>6.8426885816105457E-3</c:v>
                </c:pt>
                <c:pt idx="52">
                  <c:v>7.8557447807595434E-3</c:v>
                </c:pt>
                <c:pt idx="53">
                  <c:v>3.0472706766749801E-2</c:v>
                </c:pt>
                <c:pt idx="54">
                  <c:v>1.8301074688134199E-2</c:v>
                </c:pt>
                <c:pt idx="55">
                  <c:v>6.6428553376631785E-4</c:v>
                </c:pt>
                <c:pt idx="56">
                  <c:v>-7.7644506409093597E-4</c:v>
                </c:pt>
                <c:pt idx="57">
                  <c:v>1.5387196443439066E-2</c:v>
                </c:pt>
                <c:pt idx="58">
                  <c:v>1.444242382201626E-2</c:v>
                </c:pt>
                <c:pt idx="59">
                  <c:v>1.3255607178478356E-2</c:v>
                </c:pt>
                <c:pt idx="60">
                  <c:v>1.5050704328763232E-2</c:v>
                </c:pt>
                <c:pt idx="61">
                  <c:v>3.6531920847962772E-2</c:v>
                </c:pt>
                <c:pt idx="62">
                  <c:v>4.0947751413425416E-2</c:v>
                </c:pt>
                <c:pt idx="63">
                  <c:v>2.3472332762664295E-2</c:v>
                </c:pt>
                <c:pt idx="64">
                  <c:v>1.2318560291782887E-2</c:v>
                </c:pt>
                <c:pt idx="65">
                  <c:v>2.5826251920406662E-2</c:v>
                </c:pt>
                <c:pt idx="66">
                  <c:v>2.4377747732916077E-2</c:v>
                </c:pt>
                <c:pt idx="67">
                  <c:v>4.5391843438485676E-3</c:v>
                </c:pt>
                <c:pt idx="68">
                  <c:v>4.4305120897764286E-3</c:v>
                </c:pt>
                <c:pt idx="69">
                  <c:v>1.3708212415259524E-2</c:v>
                </c:pt>
                <c:pt idx="70">
                  <c:v>2.8460899377373396E-3</c:v>
                </c:pt>
                <c:pt idx="71">
                  <c:v>-1.620558844332063E-2</c:v>
                </c:pt>
                <c:pt idx="72">
                  <c:v>-1.6868762340728337E-2</c:v>
                </c:pt>
                <c:pt idx="73">
                  <c:v>-6.3866113864301964E-3</c:v>
                </c:pt>
                <c:pt idx="74">
                  <c:v>2.3408767020878683E-3</c:v>
                </c:pt>
                <c:pt idx="75">
                  <c:v>-3.5914399927799321E-3</c:v>
                </c:pt>
                <c:pt idx="76">
                  <c:v>-9.0292693014889739E-3</c:v>
                </c:pt>
                <c:pt idx="77">
                  <c:v>-1.7445730790452529E-3</c:v>
                </c:pt>
                <c:pt idx="78">
                  <c:v>3.4855240669639186E-3</c:v>
                </c:pt>
                <c:pt idx="79">
                  <c:v>-9.6898313170955316E-3</c:v>
                </c:pt>
                <c:pt idx="80">
                  <c:v>-1.8196017911963302E-2</c:v>
                </c:pt>
                <c:pt idx="81">
                  <c:v>-1.2288352041048612E-3</c:v>
                </c:pt>
                <c:pt idx="82">
                  <c:v>1.788021843686849E-3</c:v>
                </c:pt>
                <c:pt idx="83">
                  <c:v>-1.6699845735074346E-2</c:v>
                </c:pt>
                <c:pt idx="84">
                  <c:v>-3.0335411180722895E-2</c:v>
                </c:pt>
                <c:pt idx="85">
                  <c:v>-8.1501451666300181E-3</c:v>
                </c:pt>
                <c:pt idx="86">
                  <c:v>-4.7830437575200335E-3</c:v>
                </c:pt>
                <c:pt idx="87">
                  <c:v>-1.8418927627493708E-2</c:v>
                </c:pt>
                <c:pt idx="88">
                  <c:v>-2.174997028720398E-2</c:v>
                </c:pt>
                <c:pt idx="89">
                  <c:v>6.7346059601440804E-4</c:v>
                </c:pt>
                <c:pt idx="90">
                  <c:v>5.9539277197753647E-3</c:v>
                </c:pt>
                <c:pt idx="91">
                  <c:v>-1.1661820820728152E-2</c:v>
                </c:pt>
                <c:pt idx="92">
                  <c:v>-1.5233052419082859E-2</c:v>
                </c:pt>
                <c:pt idx="93">
                  <c:v>-8.8275122516170874E-3</c:v>
                </c:pt>
                <c:pt idx="94">
                  <c:v>-1.8200044944847171E-2</c:v>
                </c:pt>
                <c:pt idx="95">
                  <c:v>-3.5956286625786579E-2</c:v>
                </c:pt>
                <c:pt idx="96">
                  <c:v>-3.7946246586995788E-2</c:v>
                </c:pt>
                <c:pt idx="97">
                  <c:v>-2.0044819118087531E-2</c:v>
                </c:pt>
                <c:pt idx="98">
                  <c:v>-4.2661299355225783E-3</c:v>
                </c:pt>
                <c:pt idx="99">
                  <c:v>2.8870518088289997E-3</c:v>
                </c:pt>
                <c:pt idx="100">
                  <c:v>6.4885320708700789E-3</c:v>
                </c:pt>
                <c:pt idx="101">
                  <c:v>2.6628930003849759E-2</c:v>
                </c:pt>
                <c:pt idx="102">
                  <c:v>3.2682742134416819E-2</c:v>
                </c:pt>
                <c:pt idx="103">
                  <c:v>1.6002080291355369E-2</c:v>
                </c:pt>
                <c:pt idx="104">
                  <c:v>1.5680755097307042E-3</c:v>
                </c:pt>
                <c:pt idx="105">
                  <c:v>6.015613843945289E-3</c:v>
                </c:pt>
                <c:pt idx="106">
                  <c:v>-8.9204648198855092E-4</c:v>
                </c:pt>
                <c:pt idx="107">
                  <c:v>-1.3044782208974759E-2</c:v>
                </c:pt>
                <c:pt idx="108">
                  <c:v>-1.2750400666521066E-2</c:v>
                </c:pt>
                <c:pt idx="109">
                  <c:v>4.0532125397625408E-4</c:v>
                </c:pt>
                <c:pt idx="110">
                  <c:v>5.856959975540121E-3</c:v>
                </c:pt>
                <c:pt idx="111">
                  <c:v>-5.1813122241952669E-3</c:v>
                </c:pt>
                <c:pt idx="112">
                  <c:v>-2.5665767180674593E-3</c:v>
                </c:pt>
                <c:pt idx="113">
                  <c:v>7.000918958177671E-3</c:v>
                </c:pt>
                <c:pt idx="114">
                  <c:v>1.0943163320360582E-2</c:v>
                </c:pt>
                <c:pt idx="115">
                  <c:v>-2.404135597704915E-3</c:v>
                </c:pt>
                <c:pt idx="116">
                  <c:v>-4.1426063225278751E-3</c:v>
                </c:pt>
                <c:pt idx="117">
                  <c:v>4.3771492736727428E-3</c:v>
                </c:pt>
                <c:pt idx="118">
                  <c:v>1.9301367555630833E-3</c:v>
                </c:pt>
                <c:pt idx="119">
                  <c:v>-1.4291632363872963E-2</c:v>
                </c:pt>
                <c:pt idx="120">
                  <c:v>-9.1598044816253218E-3</c:v>
                </c:pt>
                <c:pt idx="121">
                  <c:v>1.1448546521807578E-2</c:v>
                </c:pt>
                <c:pt idx="122">
                  <c:v>3.9652788324877619E-3</c:v>
                </c:pt>
                <c:pt idx="123">
                  <c:v>-1.4064442772783181E-3</c:v>
                </c:pt>
                <c:pt idx="124">
                  <c:v>1.0703184259060806E-3</c:v>
                </c:pt>
                <c:pt idx="125">
                  <c:v>4.3437562947904237E-3</c:v>
                </c:pt>
                <c:pt idx="126">
                  <c:v>-6.8306976028694065E-3</c:v>
                </c:pt>
                <c:pt idx="127">
                  <c:v>-1.5470237207537351E-2</c:v>
                </c:pt>
                <c:pt idx="128">
                  <c:v>-1.9678008121428902E-2</c:v>
                </c:pt>
                <c:pt idx="129">
                  <c:v>-1.3937060204924911E-2</c:v>
                </c:pt>
                <c:pt idx="130">
                  <c:v>-1.100880969626541E-2</c:v>
                </c:pt>
                <c:pt idx="131">
                  <c:v>-1.5361636176611525E-2</c:v>
                </c:pt>
                <c:pt idx="132">
                  <c:v>-1.4931394889248217E-2</c:v>
                </c:pt>
                <c:pt idx="133">
                  <c:v>1.3627945586307533E-3</c:v>
                </c:pt>
                <c:pt idx="134">
                  <c:v>1.1148247217744611E-2</c:v>
                </c:pt>
                <c:pt idx="135">
                  <c:v>5.4550322265875199E-3</c:v>
                </c:pt>
                <c:pt idx="136">
                  <c:v>4.9079092349359147E-3</c:v>
                </c:pt>
                <c:pt idx="137">
                  <c:v>1.5515013129268418E-2</c:v>
                </c:pt>
                <c:pt idx="138">
                  <c:v>1.4690426436711946E-2</c:v>
                </c:pt>
                <c:pt idx="139">
                  <c:v>-6.8197294261816309E-3</c:v>
                </c:pt>
                <c:pt idx="140">
                  <c:v>-6.2192436769782592E-3</c:v>
                </c:pt>
                <c:pt idx="141">
                  <c:v>9.1789850388353852E-3</c:v>
                </c:pt>
                <c:pt idx="142">
                  <c:v>3.0997739549228241E-3</c:v>
                </c:pt>
                <c:pt idx="143">
                  <c:v>-9.5742767833302267E-3</c:v>
                </c:pt>
                <c:pt idx="144">
                  <c:v>-8.379009903562995E-3</c:v>
                </c:pt>
                <c:pt idx="145">
                  <c:v>-3.2483612475720848E-3</c:v>
                </c:pt>
                <c:pt idx="146">
                  <c:v>-8.7414866161497073E-3</c:v>
                </c:pt>
                <c:pt idx="147">
                  <c:v>-1.1878038368451093E-2</c:v>
                </c:pt>
                <c:pt idx="148">
                  <c:v>-1.4349520443632181E-2</c:v>
                </c:pt>
                <c:pt idx="149">
                  <c:v>-1.2678370084563185E-3</c:v>
                </c:pt>
                <c:pt idx="150">
                  <c:v>-2.7816393488647507E-3</c:v>
                </c:pt>
                <c:pt idx="151">
                  <c:v>-1.2740142805615483E-2</c:v>
                </c:pt>
                <c:pt idx="152">
                  <c:v>-2.3803852440994432E-2</c:v>
                </c:pt>
                <c:pt idx="153">
                  <c:v>-9.82986812821025E-3</c:v>
                </c:pt>
                <c:pt idx="154">
                  <c:v>-4.8693851895295738E-3</c:v>
                </c:pt>
                <c:pt idx="155">
                  <c:v>-1.3727347694840653E-2</c:v>
                </c:pt>
                <c:pt idx="156">
                  <c:v>-1.901063123815554E-2</c:v>
                </c:pt>
                <c:pt idx="157">
                  <c:v>-2.314259816870212E-3</c:v>
                </c:pt>
                <c:pt idx="158">
                  <c:v>-2.0623979002827751E-3</c:v>
                </c:pt>
                <c:pt idx="159">
                  <c:v>-1.4885638524029332E-2</c:v>
                </c:pt>
                <c:pt idx="160">
                  <c:v>-1.7343984316555705E-2</c:v>
                </c:pt>
                <c:pt idx="161">
                  <c:v>-2.6751643350335641E-3</c:v>
                </c:pt>
                <c:pt idx="162">
                  <c:v>6.026878948702752E-3</c:v>
                </c:pt>
                <c:pt idx="163">
                  <c:v>-4.979617694879401E-3</c:v>
                </c:pt>
                <c:pt idx="164">
                  <c:v>-1.2257407894932016E-3</c:v>
                </c:pt>
                <c:pt idx="165">
                  <c:v>9.3184798597700791E-3</c:v>
                </c:pt>
                <c:pt idx="166">
                  <c:v>9.3197976655726936E-3</c:v>
                </c:pt>
                <c:pt idx="167">
                  <c:v>1.1075217109633329E-3</c:v>
                </c:pt>
                <c:pt idx="168">
                  <c:v>2.563144249861793E-3</c:v>
                </c:pt>
                <c:pt idx="169">
                  <c:v>1.0760245081529441E-2</c:v>
                </c:pt>
                <c:pt idx="170">
                  <c:v>1.3386321150206725E-2</c:v>
                </c:pt>
                <c:pt idx="171">
                  <c:v>5.4503457571124514E-3</c:v>
                </c:pt>
                <c:pt idx="172">
                  <c:v>-4.3637792238333971E-3</c:v>
                </c:pt>
                <c:pt idx="173">
                  <c:v>5.1815670098193326E-3</c:v>
                </c:pt>
                <c:pt idx="174">
                  <c:v>4.5102503965333439E-3</c:v>
                </c:pt>
                <c:pt idx="175">
                  <c:v>-9.5753903769963951E-4</c:v>
                </c:pt>
                <c:pt idx="176">
                  <c:v>-6.8025534235191644E-3</c:v>
                </c:pt>
                <c:pt idx="177">
                  <c:v>8.2115120736521159E-4</c:v>
                </c:pt>
                <c:pt idx="178">
                  <c:v>4.3922432170155901E-3</c:v>
                </c:pt>
                <c:pt idx="179">
                  <c:v>-7.7309178679499267E-3</c:v>
                </c:pt>
                <c:pt idx="180">
                  <c:v>-1.6459827054746513E-2</c:v>
                </c:pt>
                <c:pt idx="181">
                  <c:v>-2.7669843877387024E-3</c:v>
                </c:pt>
                <c:pt idx="182">
                  <c:v>2.7728245721872825E-3</c:v>
                </c:pt>
                <c:pt idx="183">
                  <c:v>-2.4265207353444396E-4</c:v>
                </c:pt>
                <c:pt idx="184">
                  <c:v>9.4473629062797222E-3</c:v>
                </c:pt>
                <c:pt idx="185">
                  <c:v>3.643496759731004E-2</c:v>
                </c:pt>
                <c:pt idx="186">
                  <c:v>3.9930172684943699E-2</c:v>
                </c:pt>
                <c:pt idx="187">
                  <c:v>3.2180582349523236E-2</c:v>
                </c:pt>
                <c:pt idx="188">
                  <c:v>1.819460346819355E-2</c:v>
                </c:pt>
                <c:pt idx="189">
                  <c:v>2.4832012919648604E-2</c:v>
                </c:pt>
                <c:pt idx="190">
                  <c:v>2.189338235748952E-2</c:v>
                </c:pt>
                <c:pt idx="191">
                  <c:v>1.0796822040404131E-2</c:v>
                </c:pt>
                <c:pt idx="192">
                  <c:v>2.1699852133538755E-3</c:v>
                </c:pt>
                <c:pt idx="193">
                  <c:v>1.704666676119828E-2</c:v>
                </c:pt>
                <c:pt idx="194">
                  <c:v>1.5704104917709218E-2</c:v>
                </c:pt>
                <c:pt idx="195">
                  <c:v>-2.938409967956268E-3</c:v>
                </c:pt>
                <c:pt idx="196">
                  <c:v>-8.8837521644316905E-3</c:v>
                </c:pt>
                <c:pt idx="197">
                  <c:v>7.8483774626498352E-3</c:v>
                </c:pt>
                <c:pt idx="198">
                  <c:v>6.5046232376895219E-3</c:v>
                </c:pt>
                <c:pt idx="199">
                  <c:v>-5.803683519857117E-3</c:v>
                </c:pt>
                <c:pt idx="200">
                  <c:v>-1.2202405867810384E-2</c:v>
                </c:pt>
                <c:pt idx="201">
                  <c:v>2.047454548296379E-3</c:v>
                </c:pt>
                <c:pt idx="202">
                  <c:v>-4.9237682581892983E-3</c:v>
                </c:pt>
                <c:pt idx="203">
                  <c:v>-1.2154401090205625E-2</c:v>
                </c:pt>
                <c:pt idx="204">
                  <c:v>-1.4361293706587119E-2</c:v>
                </c:pt>
                <c:pt idx="205">
                  <c:v>-6.1279682864636698E-3</c:v>
                </c:pt>
                <c:pt idx="206">
                  <c:v>-3.4190160256057922E-3</c:v>
                </c:pt>
                <c:pt idx="207">
                  <c:v>-8.8151987013718631E-3</c:v>
                </c:pt>
                <c:pt idx="208">
                  <c:v>-9.3108211362062931E-3</c:v>
                </c:pt>
                <c:pt idx="209">
                  <c:v>1.0158132488662375E-2</c:v>
                </c:pt>
                <c:pt idx="210">
                  <c:v>1.4249556073334623E-2</c:v>
                </c:pt>
                <c:pt idx="211">
                  <c:v>1.1028832460972637E-3</c:v>
                </c:pt>
                <c:pt idx="212">
                  <c:v>-1.9718184014852367E-3</c:v>
                </c:pt>
                <c:pt idx="213">
                  <c:v>1.6985665720412157E-3</c:v>
                </c:pt>
                <c:pt idx="214">
                  <c:v>-7.6465168653164998E-3</c:v>
                </c:pt>
                <c:pt idx="215">
                  <c:v>-1.5713780115248176E-2</c:v>
                </c:pt>
                <c:pt idx="216">
                  <c:v>-2.3113985974021568E-2</c:v>
                </c:pt>
                <c:pt idx="217">
                  <c:v>-1.4323622418026715E-2</c:v>
                </c:pt>
                <c:pt idx="218">
                  <c:v>-1.4449208423686955E-2</c:v>
                </c:pt>
                <c:pt idx="219">
                  <c:v>-2.4537417646724968E-2</c:v>
                </c:pt>
                <c:pt idx="220">
                  <c:v>-2.3563227996894299E-2</c:v>
                </c:pt>
                <c:pt idx="221">
                  <c:v>2.6675521376322564E-3</c:v>
                </c:pt>
                <c:pt idx="222">
                  <c:v>8.1799564255371493E-3</c:v>
                </c:pt>
                <c:pt idx="223">
                  <c:v>1.14728684109485E-2</c:v>
                </c:pt>
                <c:pt idx="224">
                  <c:v>1.6582747320488523E-2</c:v>
                </c:pt>
                <c:pt idx="225">
                  <c:v>2.7457289943008868E-2</c:v>
                </c:pt>
                <c:pt idx="226">
                  <c:v>2.0468216600854384E-2</c:v>
                </c:pt>
                <c:pt idx="227">
                  <c:v>1.2018248380420538E-2</c:v>
                </c:pt>
                <c:pt idx="228">
                  <c:v>2.2710712878490471E-3</c:v>
                </c:pt>
                <c:pt idx="229">
                  <c:v>6.9621609594673114E-3</c:v>
                </c:pt>
                <c:pt idx="230">
                  <c:v>1.2574899074096101E-2</c:v>
                </c:pt>
                <c:pt idx="231">
                  <c:v>6.2360009189143641E-3</c:v>
                </c:pt>
                <c:pt idx="232">
                  <c:v>4.8641106886279321E-3</c:v>
                </c:pt>
                <c:pt idx="233">
                  <c:v>1.5030051787287491E-2</c:v>
                </c:pt>
                <c:pt idx="234">
                  <c:v>1.4443509162385482E-2</c:v>
                </c:pt>
                <c:pt idx="235">
                  <c:v>-1.3716243834835495E-3</c:v>
                </c:pt>
                <c:pt idx="236">
                  <c:v>-3.9588242456584767E-3</c:v>
                </c:pt>
                <c:pt idx="237">
                  <c:v>2.517227596659133E-3</c:v>
                </c:pt>
                <c:pt idx="238">
                  <c:v>3.2810856245774288E-3</c:v>
                </c:pt>
                <c:pt idx="239">
                  <c:v>-5.5607629021197976E-3</c:v>
                </c:pt>
                <c:pt idx="240">
                  <c:v>-6.5307163257438457E-3</c:v>
                </c:pt>
                <c:pt idx="241">
                  <c:v>-3.3293869026353564E-3</c:v>
                </c:pt>
                <c:pt idx="242">
                  <c:v>-3.3414434844718953E-3</c:v>
                </c:pt>
                <c:pt idx="243">
                  <c:v>-1.0045929782892671E-2</c:v>
                </c:pt>
                <c:pt idx="244">
                  <c:v>-6.5641088646499314E-3</c:v>
                </c:pt>
                <c:pt idx="245">
                  <c:v>2.4947482025776678E-4</c:v>
                </c:pt>
                <c:pt idx="246">
                  <c:v>-1.9309623063238136E-3</c:v>
                </c:pt>
                <c:pt idx="247">
                  <c:v>-1.3150915661907269E-2</c:v>
                </c:pt>
                <c:pt idx="248">
                  <c:v>-2.2051357682448546E-2</c:v>
                </c:pt>
                <c:pt idx="249">
                  <c:v>-1.8698713170045345E-2</c:v>
                </c:pt>
                <c:pt idx="250">
                  <c:v>-1.2227739371329881E-2</c:v>
                </c:pt>
                <c:pt idx="251">
                  <c:v>-1.6205769140088755E-2</c:v>
                </c:pt>
                <c:pt idx="252">
                  <c:v>-1.5753854502522736E-2</c:v>
                </c:pt>
                <c:pt idx="253">
                  <c:v>-3.9494128931373499E-3</c:v>
                </c:pt>
                <c:pt idx="254">
                  <c:v>-1.292692760648606E-3</c:v>
                </c:pt>
                <c:pt idx="255">
                  <c:v>-1.4907237597549994E-2</c:v>
                </c:pt>
                <c:pt idx="256">
                  <c:v>-1.254291452883507E-2</c:v>
                </c:pt>
                <c:pt idx="257">
                  <c:v>4.3108319860360568E-3</c:v>
                </c:pt>
                <c:pt idx="258">
                  <c:v>1.1973113264112989E-2</c:v>
                </c:pt>
                <c:pt idx="259">
                  <c:v>7.6796390800316413E-3</c:v>
                </c:pt>
                <c:pt idx="260">
                  <c:v>1.4300662390767726E-2</c:v>
                </c:pt>
                <c:pt idx="261">
                  <c:v>2.6342223210738602E-2</c:v>
                </c:pt>
                <c:pt idx="262">
                  <c:v>2.6955401417288451E-2</c:v>
                </c:pt>
                <c:pt idx="263">
                  <c:v>2.2938493605016673E-2</c:v>
                </c:pt>
                <c:pt idx="264">
                  <c:v>1.5036338930914717E-2</c:v>
                </c:pt>
                <c:pt idx="265">
                  <c:v>2.2431846476185058E-2</c:v>
                </c:pt>
                <c:pt idx="266">
                  <c:v>1.9725939333836706E-2</c:v>
                </c:pt>
                <c:pt idx="267">
                  <c:v>4.2570701597934857E-3</c:v>
                </c:pt>
                <c:pt idx="268">
                  <c:v>-8.2969451797398012E-3</c:v>
                </c:pt>
                <c:pt idx="269">
                  <c:v>2.3157666351798058E-3</c:v>
                </c:pt>
                <c:pt idx="270">
                  <c:v>-5.7867954752364168E-4</c:v>
                </c:pt>
                <c:pt idx="271">
                  <c:v>-1.5906205591043231E-2</c:v>
                </c:pt>
                <c:pt idx="272">
                  <c:v>-2.1487170942319798E-2</c:v>
                </c:pt>
                <c:pt idx="273">
                  <c:v>-7.1639972299077925E-3</c:v>
                </c:pt>
                <c:pt idx="274">
                  <c:v>-1.5678698075857866E-3</c:v>
                </c:pt>
                <c:pt idx="275">
                  <c:v>-1.5742438996233156E-2</c:v>
                </c:pt>
                <c:pt idx="276">
                  <c:v>-1.6763346186533922E-2</c:v>
                </c:pt>
                <c:pt idx="277">
                  <c:v>-4.43024490264321E-3</c:v>
                </c:pt>
                <c:pt idx="278">
                  <c:v>-3.6873823841254705E-3</c:v>
                </c:pt>
                <c:pt idx="279">
                  <c:v>-8.7798125731765701E-3</c:v>
                </c:pt>
              </c:numCache>
            </c:numRef>
          </c:xVal>
          <c:yVal>
            <c:numRef>
              <c:f>Data45!$J$4:$J$283</c:f>
              <c:numCache>
                <c:formatCode>General</c:formatCode>
                <c:ptCount val="280"/>
                <c:pt idx="0">
                  <c:v>-2.0950289190478345E-2</c:v>
                </c:pt>
                <c:pt idx="1">
                  <c:v>-1.6003202119084924E-2</c:v>
                </c:pt>
                <c:pt idx="2">
                  <c:v>-3.2876533997117721E-2</c:v>
                </c:pt>
                <c:pt idx="3">
                  <c:v>-1.8230351956268008E-2</c:v>
                </c:pt>
                <c:pt idx="4">
                  <c:v>-7.4880464918253512E-3</c:v>
                </c:pt>
                <c:pt idx="5">
                  <c:v>-5.3634125941179889E-3</c:v>
                </c:pt>
                <c:pt idx="6">
                  <c:v>-2.1829457144514564E-2</c:v>
                </c:pt>
                <c:pt idx="7">
                  <c:v>-1.2547245464239864E-2</c:v>
                </c:pt>
                <c:pt idx="8">
                  <c:v>-6.0490047009032818E-3</c:v>
                </c:pt>
                <c:pt idx="9">
                  <c:v>-4.7436868344819414E-3</c:v>
                </c:pt>
                <c:pt idx="10">
                  <c:v>-2.1714651400290209E-2</c:v>
                </c:pt>
                <c:pt idx="11">
                  <c:v>-8.2954535997696865E-3</c:v>
                </c:pt>
                <c:pt idx="12">
                  <c:v>3.5294368923066699E-3</c:v>
                </c:pt>
                <c:pt idx="13">
                  <c:v>9.830622256843214E-3</c:v>
                </c:pt>
                <c:pt idx="14">
                  <c:v>-8.262205203235418E-3</c:v>
                </c:pt>
                <c:pt idx="15">
                  <c:v>-2.3310127372473842E-3</c:v>
                </c:pt>
                <c:pt idx="16">
                  <c:v>-1.2543456273892417E-3</c:v>
                </c:pt>
                <c:pt idx="17">
                  <c:v>-2.2727560981486762E-3</c:v>
                </c:pt>
                <c:pt idx="18">
                  <c:v>-2.5970731533021763E-2</c:v>
                </c:pt>
                <c:pt idx="19">
                  <c:v>-1.5922902219245038E-2</c:v>
                </c:pt>
                <c:pt idx="20">
                  <c:v>-3.9373739780952377E-3</c:v>
                </c:pt>
                <c:pt idx="21">
                  <c:v>7.5389861170567225E-4</c:v>
                </c:pt>
                <c:pt idx="22">
                  <c:v>-1.5449463619090409E-2</c:v>
                </c:pt>
                <c:pt idx="23">
                  <c:v>-5.6921157089730558E-3</c:v>
                </c:pt>
                <c:pt idx="24">
                  <c:v>1.1202206172615803E-3</c:v>
                </c:pt>
                <c:pt idx="25">
                  <c:v>8.5178593793546755E-4</c:v>
                </c:pt>
                <c:pt idx="26">
                  <c:v>-1.7067491774003862E-2</c:v>
                </c:pt>
                <c:pt idx="27">
                  <c:v>-9.1707190118643922E-3</c:v>
                </c:pt>
                <c:pt idx="28">
                  <c:v>1.0018599139463903E-3</c:v>
                </c:pt>
                <c:pt idx="29">
                  <c:v>2.6826518199118965E-3</c:v>
                </c:pt>
                <c:pt idx="30">
                  <c:v>-1.5039965662371558E-2</c:v>
                </c:pt>
                <c:pt idx="31">
                  <c:v>-4.0832990204370031E-3</c:v>
                </c:pt>
                <c:pt idx="32">
                  <c:v>4.6629957477806626E-3</c:v>
                </c:pt>
                <c:pt idx="33">
                  <c:v>6.5187884129256799E-3</c:v>
                </c:pt>
                <c:pt idx="34">
                  <c:v>-7.2043072879912629E-3</c:v>
                </c:pt>
                <c:pt idx="35">
                  <c:v>3.6631135566668862E-3</c:v>
                </c:pt>
                <c:pt idx="36">
                  <c:v>9.5995447573002934E-3</c:v>
                </c:pt>
                <c:pt idx="37">
                  <c:v>1.3913133300620472E-2</c:v>
                </c:pt>
                <c:pt idx="38">
                  <c:v>7.1797098533377124E-4</c:v>
                </c:pt>
                <c:pt idx="39">
                  <c:v>9.3408050866582212E-3</c:v>
                </c:pt>
                <c:pt idx="40">
                  <c:v>1.6155047438751069E-2</c:v>
                </c:pt>
                <c:pt idx="41">
                  <c:v>1.6603533065114286E-2</c:v>
                </c:pt>
                <c:pt idx="42">
                  <c:v>-4.6866764890380001E-3</c:v>
                </c:pt>
                <c:pt idx="43">
                  <c:v>-2.8138594317200115E-3</c:v>
                </c:pt>
                <c:pt idx="44">
                  <c:v>-1.9834158947009683E-4</c:v>
                </c:pt>
                <c:pt idx="45">
                  <c:v>6.9804769620720466E-4</c:v>
                </c:pt>
                <c:pt idx="46">
                  <c:v>-1.501511317311408E-2</c:v>
                </c:pt>
                <c:pt idx="47">
                  <c:v>-6.658684899684175E-3</c:v>
                </c:pt>
                <c:pt idx="48">
                  <c:v>1.0566179367101469E-3</c:v>
                </c:pt>
                <c:pt idx="49">
                  <c:v>4.8872460664263432E-3</c:v>
                </c:pt>
                <c:pt idx="50">
                  <c:v>-7.9890328113625848E-3</c:v>
                </c:pt>
                <c:pt idx="51">
                  <c:v>3.7621118153758461E-3</c:v>
                </c:pt>
                <c:pt idx="52">
                  <c:v>1.3723241395184261E-2</c:v>
                </c:pt>
                <c:pt idx="53">
                  <c:v>2.0076474211262331E-2</c:v>
                </c:pt>
                <c:pt idx="54">
                  <c:v>8.3026145531263744E-3</c:v>
                </c:pt>
                <c:pt idx="55">
                  <c:v>1.8597849993040504E-2</c:v>
                </c:pt>
                <c:pt idx="56">
                  <c:v>2.7274725329996131E-2</c:v>
                </c:pt>
                <c:pt idx="57">
                  <c:v>3.1313743047741836E-2</c:v>
                </c:pt>
                <c:pt idx="58">
                  <c:v>1.8048445049122109E-2</c:v>
                </c:pt>
                <c:pt idx="59">
                  <c:v>2.4917001042467392E-2</c:v>
                </c:pt>
                <c:pt idx="60">
                  <c:v>2.9448392441412886E-2</c:v>
                </c:pt>
                <c:pt idx="61">
                  <c:v>2.9211773527260655E-2</c:v>
                </c:pt>
                <c:pt idx="62">
                  <c:v>1.264415889026207E-2</c:v>
                </c:pt>
                <c:pt idx="63">
                  <c:v>1.6355371473531478E-2</c:v>
                </c:pt>
                <c:pt idx="64">
                  <c:v>2.0513669756037876E-2</c:v>
                </c:pt>
                <c:pt idx="65">
                  <c:v>1.949985691539613E-2</c:v>
                </c:pt>
                <c:pt idx="66">
                  <c:v>3.3662804256930912E-3</c:v>
                </c:pt>
                <c:pt idx="67">
                  <c:v>7.7655950586443369E-3</c:v>
                </c:pt>
                <c:pt idx="68">
                  <c:v>1.3821804392421911E-2</c:v>
                </c:pt>
                <c:pt idx="69">
                  <c:v>1.7387326704129256E-2</c:v>
                </c:pt>
                <c:pt idx="70">
                  <c:v>2.3722003093256559E-3</c:v>
                </c:pt>
                <c:pt idx="71">
                  <c:v>6.7290894350293231E-3</c:v>
                </c:pt>
                <c:pt idx="72">
                  <c:v>1.1551133350222819E-2</c:v>
                </c:pt>
                <c:pt idx="73">
                  <c:v>1.2051988941816028E-2</c:v>
                </c:pt>
                <c:pt idx="74">
                  <c:v>-5.6851459070427881E-3</c:v>
                </c:pt>
                <c:pt idx="75">
                  <c:v>1.2449911537400383E-3</c:v>
                </c:pt>
                <c:pt idx="76">
                  <c:v>6.4331917542626016E-3</c:v>
                </c:pt>
                <c:pt idx="77">
                  <c:v>8.4145508991806395E-3</c:v>
                </c:pt>
                <c:pt idx="78">
                  <c:v>-9.5183367200140975E-3</c:v>
                </c:pt>
                <c:pt idx="79">
                  <c:v>-5.1230398779138044E-3</c:v>
                </c:pt>
                <c:pt idx="80">
                  <c:v>-1.007785957878582E-3</c:v>
                </c:pt>
                <c:pt idx="81">
                  <c:v>-1.0471556614351841E-3</c:v>
                </c:pt>
                <c:pt idx="82">
                  <c:v>-1.8612558158247694E-2</c:v>
                </c:pt>
                <c:pt idx="83">
                  <c:v>-9.536063508686965E-3</c:v>
                </c:pt>
                <c:pt idx="84">
                  <c:v>1.477852761129661E-3</c:v>
                </c:pt>
                <c:pt idx="85">
                  <c:v>7.9546630634968803E-3</c:v>
                </c:pt>
                <c:pt idx="86">
                  <c:v>-1.6252201591820282E-3</c:v>
                </c:pt>
                <c:pt idx="87">
                  <c:v>1.1684088488288146E-2</c:v>
                </c:pt>
                <c:pt idx="88">
                  <c:v>2.0937786805421153E-2</c:v>
                </c:pt>
                <c:pt idx="89">
                  <c:v>2.2834931109164281E-2</c:v>
                </c:pt>
                <c:pt idx="90">
                  <c:v>6.4710745245569971E-3</c:v>
                </c:pt>
                <c:pt idx="91">
                  <c:v>1.0492584673649752E-2</c:v>
                </c:pt>
                <c:pt idx="92">
                  <c:v>1.6415655212824554E-2</c:v>
                </c:pt>
                <c:pt idx="93">
                  <c:v>1.793727073968494E-2</c:v>
                </c:pt>
                <c:pt idx="94">
                  <c:v>5.3793128538487164E-3</c:v>
                </c:pt>
                <c:pt idx="95">
                  <c:v>1.474111915525036E-2</c:v>
                </c:pt>
                <c:pt idx="96">
                  <c:v>2.4379390960336166E-2</c:v>
                </c:pt>
                <c:pt idx="97">
                  <c:v>2.5151990076806997E-2</c:v>
                </c:pt>
                <c:pt idx="98">
                  <c:v>9.3028463129286362E-3</c:v>
                </c:pt>
                <c:pt idx="99">
                  <c:v>9.2768476063184828E-3</c:v>
                </c:pt>
                <c:pt idx="100">
                  <c:v>1.0325223748952261E-2</c:v>
                </c:pt>
                <c:pt idx="101">
                  <c:v>6.0040079830947944E-3</c:v>
                </c:pt>
                <c:pt idx="102">
                  <c:v>-1.110618458807533E-2</c:v>
                </c:pt>
                <c:pt idx="103">
                  <c:v>-4.9201444571508549E-3</c:v>
                </c:pt>
                <c:pt idx="104">
                  <c:v>2.0527893479323823E-3</c:v>
                </c:pt>
                <c:pt idx="105">
                  <c:v>2.9155609566981155E-3</c:v>
                </c:pt>
                <c:pt idx="106">
                  <c:v>-9.4198715489556047E-3</c:v>
                </c:pt>
                <c:pt idx="107">
                  <c:v>-1.2496929478183817E-3</c:v>
                </c:pt>
                <c:pt idx="108">
                  <c:v>6.4972429965987292E-3</c:v>
                </c:pt>
                <c:pt idx="109">
                  <c:v>1.0360857584969806E-2</c:v>
                </c:pt>
                <c:pt idx="110">
                  <c:v>-4.3424530556357864E-3</c:v>
                </c:pt>
                <c:pt idx="111">
                  <c:v>8.6886188095967041E-4</c:v>
                </c:pt>
                <c:pt idx="112">
                  <c:v>2.4216841145435096E-3</c:v>
                </c:pt>
                <c:pt idx="113">
                  <c:v>1.6364109681425986E-4</c:v>
                </c:pt>
                <c:pt idx="114">
                  <c:v>-1.4022724321758417E-2</c:v>
                </c:pt>
                <c:pt idx="115">
                  <c:v>-5.7302812935748904E-3</c:v>
                </c:pt>
                <c:pt idx="116">
                  <c:v>2.5896145522979809E-3</c:v>
                </c:pt>
                <c:pt idx="117">
                  <c:v>9.2560004174035981E-3</c:v>
                </c:pt>
                <c:pt idx="118">
                  <c:v>4.8991695296116686E-4</c:v>
                </c:pt>
                <c:pt idx="119">
                  <c:v>5.4165501649924511E-3</c:v>
                </c:pt>
                <c:pt idx="120">
                  <c:v>1.0146508672031018E-2</c:v>
                </c:pt>
                <c:pt idx="121">
                  <c:v>8.544357048647911E-3</c:v>
                </c:pt>
                <c:pt idx="122">
                  <c:v>-8.7776852891085604E-3</c:v>
                </c:pt>
                <c:pt idx="123">
                  <c:v>-9.5612999807039856E-3</c:v>
                </c:pt>
                <c:pt idx="124">
                  <c:v>-6.4654087917576323E-3</c:v>
                </c:pt>
                <c:pt idx="125">
                  <c:v>-5.4770980341883654E-3</c:v>
                </c:pt>
                <c:pt idx="126">
                  <c:v>-1.5936746329033902E-2</c:v>
                </c:pt>
                <c:pt idx="127">
                  <c:v>-6.8319282610687536E-3</c:v>
                </c:pt>
                <c:pt idx="128">
                  <c:v>4.6660436098516552E-3</c:v>
                </c:pt>
                <c:pt idx="129">
                  <c:v>1.1754693996140908E-2</c:v>
                </c:pt>
                <c:pt idx="130">
                  <c:v>1.8373491493957061E-3</c:v>
                </c:pt>
                <c:pt idx="131">
                  <c:v>8.0183095033016013E-3</c:v>
                </c:pt>
                <c:pt idx="132">
                  <c:v>1.3417907949624918E-2</c:v>
                </c:pt>
                <c:pt idx="133">
                  <c:v>1.4409820107136184E-2</c:v>
                </c:pt>
                <c:pt idx="134">
                  <c:v>5.4493284706786933E-4</c:v>
                </c:pt>
                <c:pt idx="135">
                  <c:v>6.8296987082613111E-3</c:v>
                </c:pt>
                <c:pt idx="136">
                  <c:v>1.5352279461551177E-2</c:v>
                </c:pt>
                <c:pt idx="137">
                  <c:v>1.8137955522207962E-2</c:v>
                </c:pt>
                <c:pt idx="138">
                  <c:v>4.9336997791547431E-3</c:v>
                </c:pt>
                <c:pt idx="139">
                  <c:v>1.2092137931613501E-2</c:v>
                </c:pt>
                <c:pt idx="140">
                  <c:v>1.6721896905126776E-2</c:v>
                </c:pt>
                <c:pt idx="141">
                  <c:v>1.5180716067283485E-2</c:v>
                </c:pt>
                <c:pt idx="142">
                  <c:v>1.571425752547384E-3</c:v>
                </c:pt>
                <c:pt idx="143">
                  <c:v>8.0133178046436267E-3</c:v>
                </c:pt>
                <c:pt idx="144">
                  <c:v>1.0722070848700227E-2</c:v>
                </c:pt>
                <c:pt idx="145">
                  <c:v>1.044496940838755E-2</c:v>
                </c:pt>
                <c:pt idx="146">
                  <c:v>-4.3613137365316138E-3</c:v>
                </c:pt>
                <c:pt idx="147">
                  <c:v>-5.6153463254720042E-4</c:v>
                </c:pt>
                <c:pt idx="148">
                  <c:v>2.7998908809454546E-4</c:v>
                </c:pt>
                <c:pt idx="149">
                  <c:v>-2.9005866138245298E-4</c:v>
                </c:pt>
                <c:pt idx="150">
                  <c:v>-1.4092843142570111E-2</c:v>
                </c:pt>
                <c:pt idx="151">
                  <c:v>-9.6822690748755488E-3</c:v>
                </c:pt>
                <c:pt idx="152">
                  <c:v>-7.3649751042523803E-3</c:v>
                </c:pt>
                <c:pt idx="153">
                  <c:v>-7.0093424239649595E-3</c:v>
                </c:pt>
                <c:pt idx="154">
                  <c:v>-1.8931864690604882E-2</c:v>
                </c:pt>
                <c:pt idx="155">
                  <c:v>-1.2401092501072597E-2</c:v>
                </c:pt>
                <c:pt idx="156">
                  <c:v>-4.5218543268825684E-3</c:v>
                </c:pt>
                <c:pt idx="157">
                  <c:v>-1.7121192905094063E-3</c:v>
                </c:pt>
                <c:pt idx="158">
                  <c:v>-1.4504533836734269E-2</c:v>
                </c:pt>
                <c:pt idx="159">
                  <c:v>-1.079300018008773E-2</c:v>
                </c:pt>
                <c:pt idx="160">
                  <c:v>-7.5804255683090457E-3</c:v>
                </c:pt>
                <c:pt idx="161">
                  <c:v>-7.0042918306089776E-3</c:v>
                </c:pt>
                <c:pt idx="162">
                  <c:v>-1.7294669898512006E-2</c:v>
                </c:pt>
                <c:pt idx="163">
                  <c:v>-9.2939754745392737E-3</c:v>
                </c:pt>
                <c:pt idx="164">
                  <c:v>-2.1014035183741344E-3</c:v>
                </c:pt>
                <c:pt idx="165">
                  <c:v>8.9066336398868629E-4</c:v>
                </c:pt>
                <c:pt idx="166">
                  <c:v>-1.1145959013192552E-2</c:v>
                </c:pt>
                <c:pt idx="167">
                  <c:v>-5.8669214519897041E-3</c:v>
                </c:pt>
                <c:pt idx="168">
                  <c:v>-1.0815196223235902E-3</c:v>
                </c:pt>
                <c:pt idx="169">
                  <c:v>-2.5130957499523986E-4</c:v>
                </c:pt>
                <c:pt idx="170">
                  <c:v>-1.3756507341232549E-2</c:v>
                </c:pt>
                <c:pt idx="171">
                  <c:v>-1.1384759452393211E-2</c:v>
                </c:pt>
                <c:pt idx="172">
                  <c:v>-1.0292886911054034E-2</c:v>
                </c:pt>
                <c:pt idx="173">
                  <c:v>-1.2416631697062464E-2</c:v>
                </c:pt>
                <c:pt idx="174">
                  <c:v>-2.9368833799037829E-2</c:v>
                </c:pt>
                <c:pt idx="175">
                  <c:v>-2.5209548787041847E-2</c:v>
                </c:pt>
                <c:pt idx="176">
                  <c:v>-2.0823074103272353E-2</c:v>
                </c:pt>
                <c:pt idx="177">
                  <c:v>-1.7540678244423978E-2</c:v>
                </c:pt>
                <c:pt idx="178">
                  <c:v>-2.4026596302280011E-2</c:v>
                </c:pt>
                <c:pt idx="179">
                  <c:v>-1.2052847194121873E-2</c:v>
                </c:pt>
                <c:pt idx="180">
                  <c:v>-4.5074482102995363E-3</c:v>
                </c:pt>
                <c:pt idx="181">
                  <c:v>1.7228796379551881E-3</c:v>
                </c:pt>
                <c:pt idx="182">
                  <c:v>-7.8625714163161227E-3</c:v>
                </c:pt>
                <c:pt idx="183">
                  <c:v>-2.9043535155354404E-3</c:v>
                </c:pt>
                <c:pt idx="184">
                  <c:v>7.5271160680703277E-4</c:v>
                </c:pt>
                <c:pt idx="185">
                  <c:v>2.5545280011094462E-3</c:v>
                </c:pt>
                <c:pt idx="186">
                  <c:v>-9.6738614355333045E-3</c:v>
                </c:pt>
                <c:pt idx="187">
                  <c:v>-4.3389011805182063E-3</c:v>
                </c:pt>
                <c:pt idx="188">
                  <c:v>9.7136317983839151E-4</c:v>
                </c:pt>
                <c:pt idx="189">
                  <c:v>5.0460251212612658E-3</c:v>
                </c:pt>
                <c:pt idx="190">
                  <c:v>-4.586169732602308E-3</c:v>
                </c:pt>
                <c:pt idx="191">
                  <c:v>1.5696620834395603E-3</c:v>
                </c:pt>
                <c:pt idx="192">
                  <c:v>8.1948571955457791E-3</c:v>
                </c:pt>
                <c:pt idx="193">
                  <c:v>1.0524694003102474E-2</c:v>
                </c:pt>
                <c:pt idx="194">
                  <c:v>-2.7537367547385118E-3</c:v>
                </c:pt>
                <c:pt idx="195">
                  <c:v>-5.6769039456199271E-4</c:v>
                </c:pt>
                <c:pt idx="196">
                  <c:v>2.6732521249385856E-3</c:v>
                </c:pt>
                <c:pt idx="197">
                  <c:v>2.0202195847785374E-3</c:v>
                </c:pt>
                <c:pt idx="198">
                  <c:v>-1.1837764505335002E-2</c:v>
                </c:pt>
                <c:pt idx="199">
                  <c:v>-7.4484123207163577E-3</c:v>
                </c:pt>
                <c:pt idx="200">
                  <c:v>-1.1741719049762622E-4</c:v>
                </c:pt>
                <c:pt idx="201">
                  <c:v>3.2480071737040817E-3</c:v>
                </c:pt>
                <c:pt idx="202">
                  <c:v>-7.0965062792996744E-3</c:v>
                </c:pt>
                <c:pt idx="203">
                  <c:v>1.1535716733490631E-4</c:v>
                </c:pt>
                <c:pt idx="204">
                  <c:v>6.48058664800395E-3</c:v>
                </c:pt>
                <c:pt idx="205">
                  <c:v>6.0901511361324268E-3</c:v>
                </c:pt>
                <c:pt idx="206">
                  <c:v>-7.5359315209309937E-3</c:v>
                </c:pt>
                <c:pt idx="207">
                  <c:v>-4.2396405253395386E-3</c:v>
                </c:pt>
                <c:pt idx="208">
                  <c:v>-9.0314948066616552E-4</c:v>
                </c:pt>
                <c:pt idx="209">
                  <c:v>-9.276169453835692E-4</c:v>
                </c:pt>
                <c:pt idx="210">
                  <c:v>-1.0751353765482108E-2</c:v>
                </c:pt>
                <c:pt idx="211">
                  <c:v>-5.1200996371488115E-3</c:v>
                </c:pt>
                <c:pt idx="212">
                  <c:v>1.1554807519532418E-3</c:v>
                </c:pt>
                <c:pt idx="213">
                  <c:v>2.9097391448011933E-3</c:v>
                </c:pt>
                <c:pt idx="214">
                  <c:v>-7.467033792088529E-3</c:v>
                </c:pt>
                <c:pt idx="215">
                  <c:v>-3.3033559345856389E-3</c:v>
                </c:pt>
                <c:pt idx="216">
                  <c:v>2.9350868779065564E-4</c:v>
                </c:pt>
                <c:pt idx="217">
                  <c:v>-1.1950451021622399E-3</c:v>
                </c:pt>
                <c:pt idx="218">
                  <c:v>-1.4244996213071737E-2</c:v>
                </c:pt>
                <c:pt idx="219">
                  <c:v>-1.1164089481887985E-2</c:v>
                </c:pt>
                <c:pt idx="220">
                  <c:v>-7.0640017774149296E-3</c:v>
                </c:pt>
                <c:pt idx="221">
                  <c:v>-4.7406338290544529E-3</c:v>
                </c:pt>
                <c:pt idx="222">
                  <c:v>-1.3885933381105709E-2</c:v>
                </c:pt>
                <c:pt idx="223">
                  <c:v>-8.6258426861370203E-3</c:v>
                </c:pt>
                <c:pt idx="224">
                  <c:v>-3.8272859138789527E-3</c:v>
                </c:pt>
                <c:pt idx="225">
                  <c:v>-3.7967255083232844E-3</c:v>
                </c:pt>
                <c:pt idx="226">
                  <c:v>-1.6514480170041423E-2</c:v>
                </c:pt>
                <c:pt idx="227">
                  <c:v>-1.3012475343407281E-2</c:v>
                </c:pt>
                <c:pt idx="228">
                  <c:v>-9.7478594972342236E-3</c:v>
                </c:pt>
                <c:pt idx="229">
                  <c:v>-9.6624347627109579E-3</c:v>
                </c:pt>
                <c:pt idx="230">
                  <c:v>-2.0898978931746727E-2</c:v>
                </c:pt>
                <c:pt idx="231">
                  <c:v>-1.781151857849448E-2</c:v>
                </c:pt>
                <c:pt idx="232">
                  <c:v>-1.2302806223865837E-2</c:v>
                </c:pt>
                <c:pt idx="233">
                  <c:v>-9.8250919026478204E-3</c:v>
                </c:pt>
                <c:pt idx="234">
                  <c:v>-1.8072733793168715E-2</c:v>
                </c:pt>
                <c:pt idx="235">
                  <c:v>-1.2220997126958011E-2</c:v>
                </c:pt>
                <c:pt idx="236">
                  <c:v>-6.6222775434662037E-3</c:v>
                </c:pt>
                <c:pt idx="237">
                  <c:v>-5.9698120004352262E-3</c:v>
                </c:pt>
                <c:pt idx="238">
                  <c:v>-1.7177031054588988E-2</c:v>
                </c:pt>
                <c:pt idx="239">
                  <c:v>-1.2937638753611046E-2</c:v>
                </c:pt>
                <c:pt idx="240">
                  <c:v>-8.4641087714290471E-3</c:v>
                </c:pt>
                <c:pt idx="241">
                  <c:v>-7.1290162139042938E-3</c:v>
                </c:pt>
                <c:pt idx="242">
                  <c:v>-1.8916754357874765E-2</c:v>
                </c:pt>
                <c:pt idx="243">
                  <c:v>-1.5064124817646629E-2</c:v>
                </c:pt>
                <c:pt idx="244">
                  <c:v>-1.1030059767087329E-2</c:v>
                </c:pt>
                <c:pt idx="245">
                  <c:v>-9.2011098984505317E-3</c:v>
                </c:pt>
                <c:pt idx="246">
                  <c:v>-1.787479331009063E-2</c:v>
                </c:pt>
                <c:pt idx="247">
                  <c:v>-1.0950056627641303E-2</c:v>
                </c:pt>
                <c:pt idx="248">
                  <c:v>-3.7280344090047991E-3</c:v>
                </c:pt>
                <c:pt idx="249">
                  <c:v>-1.3972042325674395E-3</c:v>
                </c:pt>
                <c:pt idx="250">
                  <c:v>-1.0074680485463361E-2</c:v>
                </c:pt>
                <c:pt idx="251">
                  <c:v>-2.2608656870355404E-3</c:v>
                </c:pt>
                <c:pt idx="252">
                  <c:v>5.9697901850107368E-3</c:v>
                </c:pt>
                <c:pt idx="253">
                  <c:v>9.2420794684416659E-3</c:v>
                </c:pt>
                <c:pt idx="254">
                  <c:v>1.774336403140353E-3</c:v>
                </c:pt>
                <c:pt idx="255">
                  <c:v>7.0854839080194409E-3</c:v>
                </c:pt>
                <c:pt idx="256">
                  <c:v>1.1941457876843664E-2</c:v>
                </c:pt>
                <c:pt idx="257">
                  <c:v>1.2524090274098754E-2</c:v>
                </c:pt>
                <c:pt idx="258">
                  <c:v>2.0484156660909745E-3</c:v>
                </c:pt>
                <c:pt idx="259">
                  <c:v>5.040042667664224E-3</c:v>
                </c:pt>
                <c:pt idx="260">
                  <c:v>9.9549544878803076E-3</c:v>
                </c:pt>
                <c:pt idx="261">
                  <c:v>1.1041049533019275E-2</c:v>
                </c:pt>
                <c:pt idx="262">
                  <c:v>-1.3897801024148394E-3</c:v>
                </c:pt>
                <c:pt idx="263">
                  <c:v>2.9122043060487712E-3</c:v>
                </c:pt>
                <c:pt idx="264">
                  <c:v>8.0325261905944238E-3</c:v>
                </c:pt>
                <c:pt idx="265">
                  <c:v>1.0366864202763181E-2</c:v>
                </c:pt>
                <c:pt idx="266">
                  <c:v>-8.7067163226706157E-5</c:v>
                </c:pt>
                <c:pt idx="267">
                  <c:v>7.9879734284967092E-3</c:v>
                </c:pt>
                <c:pt idx="268">
                  <c:v>1.5247487234181279E-2</c:v>
                </c:pt>
                <c:pt idx="269">
                  <c:v>1.7634677081071005E-2</c:v>
                </c:pt>
                <c:pt idx="270">
                  <c:v>6.8202286363636235E-3</c:v>
                </c:pt>
                <c:pt idx="271">
                  <c:v>1.1968813800261024E-2</c:v>
                </c:pt>
                <c:pt idx="272">
                  <c:v>1.5332005272952819E-2</c:v>
                </c:pt>
                <c:pt idx="273">
                  <c:v>1.4785816806834795E-2</c:v>
                </c:pt>
                <c:pt idx="274">
                  <c:v>4.5031886227958392E-3</c:v>
                </c:pt>
                <c:pt idx="275">
                  <c:v>1.0754110760657021E-2</c:v>
                </c:pt>
                <c:pt idx="276">
                  <c:v>1.7902115207338733E-2</c:v>
                </c:pt>
                <c:pt idx="277">
                  <c:v>2.4478740218945028E-2</c:v>
                </c:pt>
                <c:pt idx="278">
                  <c:v>2.0540654974431229E-2</c:v>
                </c:pt>
                <c:pt idx="279">
                  <c:v>2.9380100313938229E-2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8-4938-87A3-BF66AE186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77520"/>
        <c:axId val="1031474752"/>
      </c:scatterChart>
      <c:valAx>
        <c:axId val="27837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74752"/>
        <c:crosses val="autoZero"/>
        <c:crossBetween val="midCat"/>
      </c:valAx>
      <c:valAx>
        <c:axId val="10314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7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438150</xdr:colOff>
      <xdr:row>261</xdr:row>
      <xdr:rowOff>167640</xdr:rowOff>
    </xdr:from>
    <xdr:to>
      <xdr:col>27</xdr:col>
      <xdr:colOff>133350</xdr:colOff>
      <xdr:row>276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1964B-A661-6890-D0C4-4EBABF52A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350518</xdr:colOff>
      <xdr:row>1</xdr:row>
      <xdr:rowOff>57150</xdr:rowOff>
    </xdr:from>
    <xdr:to>
      <xdr:col>15</xdr:col>
      <xdr:colOff>391885</xdr:colOff>
      <xdr:row>23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C462D-8007-0F80-42CD-B2F96DA0B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380999</xdr:colOff>
      <xdr:row>24</xdr:row>
      <xdr:rowOff>10886</xdr:rowOff>
    </xdr:from>
    <xdr:to>
      <xdr:col>15</xdr:col>
      <xdr:colOff>413656</xdr:colOff>
      <xdr:row>43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E14B49-094B-39D1-922F-B26020098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457201</xdr:colOff>
      <xdr:row>44</xdr:row>
      <xdr:rowOff>87085</xdr:rowOff>
    </xdr:from>
    <xdr:to>
      <xdr:col>15</xdr:col>
      <xdr:colOff>359229</xdr:colOff>
      <xdr:row>64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FB41D3-E24B-E380-2494-2AFC62C62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21770</xdr:colOff>
      <xdr:row>1</xdr:row>
      <xdr:rowOff>76199</xdr:rowOff>
    </xdr:from>
    <xdr:to>
      <xdr:col>30</xdr:col>
      <xdr:colOff>595745</xdr:colOff>
      <xdr:row>22</xdr:row>
      <xdr:rowOff>97971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8EFF6B-2489-16E8-2862-DD58907DB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601980</xdr:colOff>
      <xdr:row>24</xdr:row>
      <xdr:rowOff>64770</xdr:rowOff>
    </xdr:from>
    <xdr:to>
      <xdr:col>30</xdr:col>
      <xdr:colOff>464820</xdr:colOff>
      <xdr:row>43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D52994-5680-88E7-850E-341DEC9BA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601980</xdr:colOff>
      <xdr:row>44</xdr:row>
      <xdr:rowOff>64770</xdr:rowOff>
    </xdr:from>
    <xdr:to>
      <xdr:col>30</xdr:col>
      <xdr:colOff>457200</xdr:colOff>
      <xdr:row>64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09C390-659E-B064-BD1B-91F0F3BCA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588643</xdr:colOff>
      <xdr:row>66</xdr:row>
      <xdr:rowOff>19050</xdr:rowOff>
    </xdr:from>
    <xdr:to>
      <xdr:col>30</xdr:col>
      <xdr:colOff>446463</xdr:colOff>
      <xdr:row>86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4E570B-D650-4872-0027-5B3D3E8E4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10371</xdr:colOff>
      <xdr:row>86</xdr:row>
      <xdr:rowOff>131657</xdr:rowOff>
    </xdr:from>
    <xdr:to>
      <xdr:col>30</xdr:col>
      <xdr:colOff>467591</xdr:colOff>
      <xdr:row>105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78999A-F4BF-69F5-9BFA-12DE2F95D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8465</xdr:colOff>
      <xdr:row>106</xdr:row>
      <xdr:rowOff>169333</xdr:rowOff>
    </xdr:from>
    <xdr:to>
      <xdr:col>26</xdr:col>
      <xdr:colOff>499533</xdr:colOff>
      <xdr:row>121</xdr:row>
      <xdr:rowOff>118533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2E282E-3717-6AD9-BFEF-B5F973A31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403860</xdr:colOff>
      <xdr:row>1</xdr:row>
      <xdr:rowOff>41910</xdr:rowOff>
    </xdr:from>
    <xdr:to>
      <xdr:col>20</xdr:col>
      <xdr:colOff>304800</xdr:colOff>
      <xdr:row>17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DF585D-3B2C-7280-5002-0D568A65D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421004</xdr:colOff>
      <xdr:row>17</xdr:row>
      <xdr:rowOff>110489</xdr:rowOff>
    </xdr:from>
    <xdr:to>
      <xdr:col>20</xdr:col>
      <xdr:colOff>304799</xdr:colOff>
      <xdr:row>35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2B308-BFF4-2B9C-E729-A96888CF3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150" backgroundRefresh="0" connectionId="2" xr16:uid="{46FEA38E-3A18-47AB-93CB-950B3948EC1E}" autoFormatId="16" applyNumberFormats="0" applyBorderFormats="0" applyFontFormats="0" applyPatternFormats="0" applyAlignmentFormats="0" applyWidthHeightFormats="0">
  <queryTableRefresh nextId="22" unboundColumnsRight="13">
    <queryTableFields count="19">
      <queryTableField id="1" name="Year" tableColumnId="1"/>
      <queryTableField id="2" name="Quarter" tableColumnId="2"/>
      <queryTableField id="4" dataBound="0" tableColumnId="4"/>
      <queryTableField id="5" dataBound="0" tableColumnId="5"/>
      <queryTableField id="11" dataBound="0" tableColumnId="11"/>
      <queryTableField id="3" name="Expenditure" tableColumnId="3"/>
      <queryTableField id="6" dataBound="0" tableColumnId="6"/>
      <queryTableField id="8" dataBound="0" tableColumnId="8"/>
      <queryTableField id="7" dataBound="0" tableColumnId="7"/>
      <queryTableField id="9" dataBound="0" tableColumnId="9"/>
      <queryTableField id="10" dataBound="0" tableColumnId="10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  <extLst>
    <ext xmlns:x15="http://schemas.microsoft.com/office/spreadsheetml/2010/11/main" uri="{883FBD77-0823-4a55-B5E3-86C4891E6966}">
      <x15:queryTable sourceDataName="dat150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1D28B-3470-4F34-9897-161860771DF4}" name="Table_dat150_" displayName="Table_dat150_" ref="A1:S285" tableType="queryTable" totalsRowShown="0">
  <autoFilter ref="A1:S285" xr:uid="{AC11D28B-3470-4F34-9897-161860771DF4}"/>
  <tableColumns count="19">
    <tableColumn id="1" xr3:uid="{A935A61D-2202-41CE-B49E-171E1674CFA6}" uniqueName="1" name="Year" queryTableFieldId="1"/>
    <tableColumn id="2" xr3:uid="{DBB5C04F-4F0C-41A6-ABF4-B86E3D4168F2}" uniqueName="2" name="Quarter" queryTableFieldId="2"/>
    <tableColumn id="4" xr3:uid="{B38D1382-514C-4C21-BD63-6E63991B0E8F}" uniqueName="4" name="Date" queryTableFieldId="4" dataDxfId="21">
      <calculatedColumnFormula>DATE(Table_dat150_[[#This Row],[Year]],(Table_dat150_[[#This Row],[Quarter]]-1)*3+2,15)</calculatedColumnFormula>
    </tableColumn>
    <tableColumn id="5" xr3:uid="{1D6798A9-F8BE-4A56-B9A8-16F01EE29D25}" uniqueName="5" name="DecDate" queryTableFieldId="5" dataDxfId="20">
      <calculatedColumnFormula>Table_dat150_[[#This Row],[Year]]+1/8+(Table_dat150_[[#This Row],[Quarter]]-1)/4</calculatedColumnFormula>
    </tableColumn>
    <tableColumn id="11" xr3:uid="{B405A631-AB1F-46E3-A8AB-EEF1AB244E69}" uniqueName="11" name="DecDate2" queryTableFieldId="11" dataDxfId="19">
      <calculatedColumnFormula>Table_dat150_[[#This Row],[DecDate]]^2</calculatedColumnFormula>
    </tableColumn>
    <tableColumn id="3" xr3:uid="{8A04D932-1304-490D-850A-7D71F1F7B2C0}" uniqueName="3" name="Expenditure" queryTableFieldId="3"/>
    <tableColumn id="6" xr3:uid="{36BBD28A-DCE7-4660-B933-2E9F701B73FA}" uniqueName="6" name="LogExpenditure" queryTableFieldId="6" dataDxfId="18">
      <calculatedColumnFormula>LN(Table_dat150_[[#This Row],[Expenditure]])</calculatedColumnFormula>
    </tableColumn>
    <tableColumn id="8" xr3:uid="{2F14CF76-625A-4088-9B4A-690B797BCB0B}" uniqueName="8" name="gt" queryTableFieldId="8" dataDxfId="17">
      <calculatedColumnFormula>(F2-F1)/F1</calculatedColumnFormula>
    </tableColumn>
    <tableColumn id="7" xr3:uid="{10013A70-6B15-456F-A15B-52E0D8D66A11}" uniqueName="7" name="gt.a" queryTableFieldId="7" dataDxfId="16">
      <calculatedColumnFormula>(1+Table_dat150_[[#This Row],[gt]])^4 -1</calculatedColumnFormula>
    </tableColumn>
    <tableColumn id="9" xr3:uid="{A594F3F9-DFAC-4A33-B056-75320E8C4908}" uniqueName="9" name="Linear Trend" queryTableFieldId="9" dataDxfId="15">
      <calculatedColumnFormula>$V$18+$V$19*Table_dat150_[[#This Row],[DecDate]]</calculatedColumnFormula>
    </tableColumn>
    <tableColumn id="10" xr3:uid="{AE24CE5A-D4CF-424B-BEA8-9FFDC0E7F57D}" uniqueName="10" name="Quadratic Trend" queryTableFieldId="10" dataDxfId="14">
      <calculatedColumnFormula>$V$37+$V$38*Table_dat150_[[#This Row],[DecDate]]+$V$39*Table_dat150_[[#This Row],[DecDate2]]</calculatedColumnFormula>
    </tableColumn>
    <tableColumn id="12" xr3:uid="{320F916E-ED78-4C47-A31C-FBAB7100F615}" uniqueName="12" name="Log Linear Trend" queryTableFieldId="12" dataDxfId="13">
      <calculatedColumnFormula>$AF$18+$AF$19*Table_dat150_[[#This Row],[DecDate]]</calculatedColumnFormula>
    </tableColumn>
    <tableColumn id="13" xr3:uid="{D5AB795F-343B-439E-8693-2A296B6DAA94}" uniqueName="13" name="Log Quadratic Trend" queryTableFieldId="13" dataDxfId="12">
      <calculatedColumnFormula>$AF$37+$AF$38*Table_dat150_[[#This Row],[DecDate]]+$AF$39*Table_dat150_[[#This Row],[DecDate2]]</calculatedColumnFormula>
    </tableColumn>
    <tableColumn id="14" xr3:uid="{940E8D39-1C16-46D1-8844-2167388E0AAE}" uniqueName="14" name="Detrended" queryTableFieldId="14" dataDxfId="11">
      <calculatedColumnFormula>Table_dat150_[[#This Row],[LogExpenditure]]-Table_dat150_[[#This Row],[Log Quadratic Trend]]</calculatedColumnFormula>
    </tableColumn>
    <tableColumn id="15" xr3:uid="{7EC9A3C2-F304-401B-B3C5-D292667BE2CF}" uniqueName="15" name="Cycle" queryTableFieldId="15" dataDxfId="10"/>
    <tableColumn id="16" xr3:uid="{1A9B9CE4-B11C-4194-AC28-74C2C30B2340}" uniqueName="16" name="Low Frequency" queryTableFieldId="16" dataDxfId="9">
      <calculatedColumnFormula>Table_dat150_[[#This Row],[Log Quadratic Trend]]+Table_dat150_[[#This Row],[Cycle]]</calculatedColumnFormula>
    </tableColumn>
    <tableColumn id="17" xr3:uid="{44E67BF3-7CFE-4779-BCE3-64288BAF4195}" uniqueName="17" name="High Frequency" queryTableFieldId="17" dataDxfId="8">
      <calculatedColumnFormula>Table_dat150_[[#This Row],[LogExpenditure]]-Table_dat150_[[#This Row],[Log Quadratic Trend]]-Table_dat150_[[#This Row],[Cycle]]</calculatedColumnFormula>
    </tableColumn>
    <tableColumn id="18" xr3:uid="{51AF275C-2974-4EB3-84D2-9A825B9C0031}" uniqueName="18" name="S0" queryTableFieldId="18" dataDxfId="7">
      <calculatedColumnFormula>AVERAGEIF(Table_dat150_[Quarter], B2, Table_dat150_[High Frequency])</calculatedColumnFormula>
    </tableColumn>
    <tableColumn id="19" xr3:uid="{62880729-AE65-4CB9-A6ED-8F342E452FDF}" uniqueName="19" name="Seasonal" queryTableFieldId="19" dataDxfId="6">
      <calculatedColumnFormula>Table_dat150_[[#This Row],[S0]]-AVERAGE($R$6:$R$9)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E6FA9-8EAE-4D4D-872A-DFDBA477347B}" name="Table2" displayName="Table2" ref="A1:J285" totalsRowShown="0">
  <autoFilter ref="A1:J285" xr:uid="{EE0E6FA9-8EAE-4D4D-872A-DFDBA477347B}"/>
  <tableColumns count="10">
    <tableColumn id="1" xr3:uid="{B1618FE1-3D23-4667-A0B1-AAF524725990}" name="Year"/>
    <tableColumn id="2" xr3:uid="{1EC5B9E8-E0E7-46E8-8597-2388ACD3122E}" name="Quarter"/>
    <tableColumn id="5" xr3:uid="{B7041519-B999-447B-AB90-335D55893405}" name="Date" dataDxfId="5">
      <calculatedColumnFormula>DATE(Table2[[#This Row],[Year]],(Table2[[#This Row],[Quarter]]-1)*3+2,15)</calculatedColumnFormula>
    </tableColumn>
    <tableColumn id="11" xr3:uid="{3DA4BD5A-906D-4805-8399-E120775BCDC3}" name="DecDate" dataDxfId="4">
      <calculatedColumnFormula>Table2[[#This Row],[Year]]+1/8+(Table2[[#This Row],[Quarter]]-1)/4</calculatedColumnFormula>
    </tableColumn>
    <tableColumn id="10" xr3:uid="{CEF719B0-4421-4CC1-85C2-FD6BB40C1560}" name="DecDate2" dataDxfId="3">
      <calculatedColumnFormula>Table2[[#This Row],[DecDate]]^2</calculatedColumnFormula>
    </tableColumn>
    <tableColumn id="3" xr3:uid="{E37DCC21-6D81-4D1E-8DE8-59ACD4BDB90E}" name="Expenditure"/>
    <tableColumn id="4" xr3:uid="{EC3D85F1-178E-43C8-BE76-58EC8846E0AA}" name="Log Expenditure" dataDxfId="2">
      <calculatedColumnFormula>LN(Table2[[#This Row],[Expenditure]])</calculatedColumnFormula>
    </tableColumn>
    <tableColumn id="7" xr3:uid="{7A52729E-E542-4D22-904F-AFD41DAA94BE}" name="Quadratic Trend" dataDxfId="1">
      <calculatedColumnFormula>$W$18+$W$19*Table2[[#This Row],[DecDate]]+$W$20*Table2[[#This Row],[DecDate2]]</calculatedColumnFormula>
    </tableColumn>
    <tableColumn id="8" xr3:uid="{941B5C4A-28D8-498A-B9E0-0DBF44690FB1}" name="Detrended" dataDxfId="0">
      <calculatedColumnFormula>Table2[[#This Row],[Log Expenditure]]-Table2[[#This Row],[Quadratic Trend]]</calculatedColumnFormula>
    </tableColumn>
    <tableColumn id="9" xr3:uid="{EDD5767E-2981-4056-956F-633782476A3F}" name="Cy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AA17-2182-4085-935B-0B249CCBB56B}">
  <dimension ref="A1:AM285"/>
  <sheetViews>
    <sheetView tabSelected="1" workbookViewId="0">
      <selection activeCell="T2" sqref="T2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10.33203125" bestFit="1" customWidth="1"/>
    <col min="4" max="5" width="10.33203125" customWidth="1"/>
    <col min="6" max="6" width="13.33203125" bestFit="1" customWidth="1"/>
    <col min="7" max="8" width="13.33203125" customWidth="1"/>
    <col min="10" max="10" width="10.5546875" bestFit="1" customWidth="1"/>
  </cols>
  <sheetData>
    <row r="1" spans="1:36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2</v>
      </c>
      <c r="G1" t="s">
        <v>5</v>
      </c>
      <c r="H1" t="s">
        <v>48</v>
      </c>
      <c r="I1" t="s">
        <v>49</v>
      </c>
      <c r="J1" t="s">
        <v>32</v>
      </c>
      <c r="K1" t="s">
        <v>40</v>
      </c>
      <c r="L1" t="s">
        <v>37</v>
      </c>
      <c r="M1" t="s">
        <v>38</v>
      </c>
      <c r="N1" t="s">
        <v>39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36" x14ac:dyDescent="0.3">
      <c r="A2">
        <v>1950</v>
      </c>
      <c r="B2">
        <v>1</v>
      </c>
      <c r="C2" s="1">
        <f>DATE(Table_dat150_[[#This Row],[Year]],(Table_dat150_[[#This Row],[Quarter]]-1)*3+2,15)</f>
        <v>18309</v>
      </c>
      <c r="D2">
        <f>Table_dat150_[[#This Row],[Year]]+1/8+(Table_dat150_[[#This Row],[Quarter]]-1)/4</f>
        <v>1950.125</v>
      </c>
      <c r="E2">
        <f>Table_dat150_[[#This Row],[DecDate]]^2</f>
        <v>3802987.515625</v>
      </c>
      <c r="F2">
        <v>709</v>
      </c>
      <c r="G2" s="8">
        <f>LN(Table_dat150_[[#This Row],[Expenditure]])</f>
        <v>6.5638555265321274</v>
      </c>
      <c r="J2" s="9">
        <f>$V$18+$V$19*Table_dat150_[[#This Row],[DecDate]]</f>
        <v>683.84128984432755</v>
      </c>
      <c r="K2" s="9">
        <f>$V$37+$V$38*Table_dat150_[[#This Row],[DecDate]]+$V$39*Table_dat150_[[#This Row],[DecDate2]]</f>
        <v>701.47950929723447</v>
      </c>
      <c r="L2" s="9">
        <f>$AF$18+$AF$19*Table_dat150_[[#This Row],[DecDate]]</f>
        <v>6.5454919774277593</v>
      </c>
      <c r="M2" s="9">
        <f>$AF$37+$AF$38*Table_dat150_[[#This Row],[DecDate]]+$AF$39*Table_dat150_[[#This Row],[DecDate2]]</f>
        <v>6.550661803213309</v>
      </c>
      <c r="N2" s="9">
        <f>Table_dat150_[[#This Row],[LogExpenditure]]-Table_dat150_[[#This Row],[Log Quadratic Trend]]</f>
        <v>1.3193723318818407E-2</v>
      </c>
      <c r="O2" s="9"/>
      <c r="P2" s="9"/>
      <c r="Q2" s="9"/>
      <c r="R2" s="9">
        <f>AVERAGEIF(Table_dat150_[Quarter], B2, Table_dat150_[High Frequency])</f>
        <v>-4.2281954239907563E-2</v>
      </c>
      <c r="S2" s="9">
        <f>Table_dat150_[[#This Row],[S0]]-AVERAGE($R$6:$R$9)</f>
        <v>-4.2188413571464481E-2</v>
      </c>
      <c r="U2" t="s">
        <v>33</v>
      </c>
      <c r="AE2" t="s">
        <v>35</v>
      </c>
    </row>
    <row r="3" spans="1:36" ht="15" thickBot="1" x14ac:dyDescent="0.35">
      <c r="A3">
        <v>1950</v>
      </c>
      <c r="B3">
        <v>2</v>
      </c>
      <c r="C3" s="1">
        <f>DATE(Table_dat150_[[#This Row],[Year]],(Table_dat150_[[#This Row],[Quarter]]-1)*3+2,15)</f>
        <v>18398</v>
      </c>
      <c r="D3">
        <f>Table_dat150_[[#This Row],[Year]]+1/8+(Table_dat150_[[#This Row],[Quarter]]-1)/4</f>
        <v>1950.375</v>
      </c>
      <c r="E3">
        <f>Table_dat150_[[#This Row],[DecDate]]^2</f>
        <v>3803962.640625</v>
      </c>
      <c r="F3">
        <v>691</v>
      </c>
      <c r="G3" s="8">
        <f>LN(Table_dat150_[[#This Row],[Expenditure]])</f>
        <v>6.5381398237676702</v>
      </c>
      <c r="H3" s="9">
        <f t="shared" ref="H3:H66" si="0">(F3-F2)/F2</f>
        <v>-2.5387870239774329E-2</v>
      </c>
      <c r="I3" s="9">
        <f>(1+Table_dat150_[[#This Row],[gt]])^4 -1</f>
        <v>-9.7749256183522149E-2</v>
      </c>
      <c r="J3" s="9">
        <f>$V$18+$V$19*Table_dat150_[[#This Row],[DecDate]]</f>
        <v>685.14694538815456</v>
      </c>
      <c r="K3" s="9">
        <f>$V$37+$V$38*Table_dat150_[[#This Row],[DecDate]]+$V$39*Table_dat150_[[#This Row],[DecDate2]]</f>
        <v>702.4112096583267</v>
      </c>
      <c r="L3" s="9">
        <f>$AF$18+$AF$19*Table_dat150_[[#This Row],[DecDate]]</f>
        <v>6.5469980061785344</v>
      </c>
      <c r="M3" s="9">
        <f>$AF$37+$AF$38*Table_dat150_[[#This Row],[DecDate]]+$AF$39*Table_dat150_[[#This Row],[DecDate2]]</f>
        <v>6.5520582243502545</v>
      </c>
      <c r="N3" s="9">
        <f>Table_dat150_[[#This Row],[LogExpenditure]]-Table_dat150_[[#This Row],[Log Quadratic Trend]]</f>
        <v>-1.3918400582584312E-2</v>
      </c>
      <c r="O3" s="9"/>
      <c r="P3" s="9"/>
      <c r="Q3" s="9"/>
      <c r="R3" s="9">
        <f>AVERAGEIF(Table_dat150_[Quarter], B3, Table_dat150_[High Frequency])</f>
        <v>3.2923068860816217E-2</v>
      </c>
      <c r="S3" s="9">
        <f>Table_dat150_[[#This Row],[S0]]-AVERAGE($R$6:$R$9)</f>
        <v>3.3016609529259298E-2</v>
      </c>
    </row>
    <row r="4" spans="1:36" x14ac:dyDescent="0.3">
      <c r="A4">
        <v>1950</v>
      </c>
      <c r="B4">
        <v>3</v>
      </c>
      <c r="C4" s="1">
        <f>DATE(Table_dat150_[[#This Row],[Year]],(Table_dat150_[[#This Row],[Quarter]]-1)*3+2,15)</f>
        <v>18490</v>
      </c>
      <c r="D4">
        <f>Table_dat150_[[#This Row],[Year]]+1/8+(Table_dat150_[[#This Row],[Quarter]]-1)/4</f>
        <v>1950.625</v>
      </c>
      <c r="E4">
        <f>Table_dat150_[[#This Row],[DecDate]]^2</f>
        <v>3804937.890625</v>
      </c>
      <c r="F4">
        <v>713</v>
      </c>
      <c r="G4" s="8">
        <f>LN(Table_dat150_[[#This Row],[Expenditure]])</f>
        <v>6.5694814204142959</v>
      </c>
      <c r="H4" s="9">
        <f t="shared" si="0"/>
        <v>3.1837916063675829E-2</v>
      </c>
      <c r="I4" s="9">
        <f>(1+Table_dat150_[[#This Row],[gt]])^4 -1</f>
        <v>0.13356369952626967</v>
      </c>
      <c r="J4" s="9">
        <f>$V$18+$V$19*Table_dat150_[[#This Row],[DecDate]]</f>
        <v>686.45260093198158</v>
      </c>
      <c r="K4" s="9">
        <f>$V$37+$V$38*Table_dat150_[[#This Row],[DecDate]]+$V$39*Table_dat150_[[#This Row],[DecDate2]]</f>
        <v>703.34556218382204</v>
      </c>
      <c r="L4" s="9">
        <f>$AF$18+$AF$19*Table_dat150_[[#This Row],[DecDate]]</f>
        <v>6.5485040349293095</v>
      </c>
      <c r="M4" s="9">
        <f>$AF$37+$AF$38*Table_dat150_[[#This Row],[DecDate]]+$AF$39*Table_dat150_[[#This Row],[DecDate2]]</f>
        <v>6.553455422846163</v>
      </c>
      <c r="N4" s="9">
        <f>Table_dat150_[[#This Row],[LogExpenditure]]-Table_dat150_[[#This Row],[Log Quadratic Trend]]</f>
        <v>1.6025997568132944E-2</v>
      </c>
      <c r="O4" s="9">
        <f>AVERAGE(N2:N6)</f>
        <v>-2.1083833293868003E-2</v>
      </c>
      <c r="P4" s="9">
        <f>Table_dat150_[[#This Row],[Log Quadratic Trend]]+Table_dat150_[[#This Row],[Cycle]]</f>
        <v>6.5323715895522954</v>
      </c>
      <c r="Q4" s="9">
        <f>Table_dat150_[[#This Row],[LogExpenditure]]-Table_dat150_[[#This Row],[Log Quadratic Trend]]-Table_dat150_[[#This Row],[Cycle]]</f>
        <v>3.7109830862000946E-2</v>
      </c>
      <c r="R4" s="9">
        <f>AVERAGEIF(Table_dat150_[Quarter], B4, Table_dat150_[High Frequency])</f>
        <v>3.7456808917954526E-2</v>
      </c>
      <c r="S4" s="9">
        <f>Table_dat150_[[#This Row],[S0]]-AVERAGE($R$6:$R$9)</f>
        <v>3.7550349586397608E-2</v>
      </c>
      <c r="U4" s="4" t="s">
        <v>7</v>
      </c>
      <c r="V4" s="4"/>
      <c r="AE4" s="4" t="s">
        <v>7</v>
      </c>
      <c r="AF4" s="4"/>
    </row>
    <row r="5" spans="1:36" x14ac:dyDescent="0.3">
      <c r="A5">
        <v>1950</v>
      </c>
      <c r="B5">
        <v>4</v>
      </c>
      <c r="C5" s="1">
        <f>DATE(Table_dat150_[[#This Row],[Year]],(Table_dat150_[[#This Row],[Quarter]]-1)*3+2,15)</f>
        <v>18582</v>
      </c>
      <c r="D5">
        <f>Table_dat150_[[#This Row],[Year]]+1/8+(Table_dat150_[[#This Row],[Quarter]]-1)/4</f>
        <v>1950.875</v>
      </c>
      <c r="E5">
        <f>Table_dat150_[[#This Row],[DecDate]]^2</f>
        <v>3805913.265625</v>
      </c>
      <c r="F5">
        <v>670</v>
      </c>
      <c r="G5" s="8">
        <f>LN(Table_dat150_[[#This Row],[Expenditure]])</f>
        <v>6.5072777123850116</v>
      </c>
      <c r="H5" s="9">
        <f t="shared" si="0"/>
        <v>-6.0308555399719493E-2</v>
      </c>
      <c r="I5" s="9">
        <f>(1+Table_dat150_[[#This Row],[gt]])^4 -1</f>
        <v>-0.22027566007649468</v>
      </c>
      <c r="J5" s="9">
        <f>$V$18+$V$19*Table_dat150_[[#This Row],[DecDate]]</f>
        <v>687.75825647580677</v>
      </c>
      <c r="K5" s="9">
        <f>$V$37+$V$38*Table_dat150_[[#This Row],[DecDate]]+$V$39*Table_dat150_[[#This Row],[DecDate2]]</f>
        <v>704.28256687370595</v>
      </c>
      <c r="L5" s="9">
        <f>$AF$18+$AF$19*Table_dat150_[[#This Row],[DecDate]]</f>
        <v>6.5500100636800864</v>
      </c>
      <c r="M5" s="9">
        <f>$AF$37+$AF$38*Table_dat150_[[#This Row],[DecDate]]+$AF$39*Table_dat150_[[#This Row],[DecDate2]]</f>
        <v>6.554853398701038</v>
      </c>
      <c r="N5" s="9">
        <f>Table_dat150_[[#This Row],[LogExpenditure]]-Table_dat150_[[#This Row],[Log Quadratic Trend]]</f>
        <v>-4.7575686316026378E-2</v>
      </c>
      <c r="O5" s="9">
        <f t="shared" ref="O5:O68" si="1">AVERAGE(N3:N7)</f>
        <v>-1.500689070939174E-2</v>
      </c>
      <c r="P5" s="9">
        <f>Table_dat150_[[#This Row],[Log Quadratic Trend]]+Table_dat150_[[#This Row],[Cycle]]</f>
        <v>6.5398465079916459</v>
      </c>
      <c r="Q5" s="9">
        <f>Table_dat150_[[#This Row],[LogExpenditure]]-Table_dat150_[[#This Row],[Log Quadratic Trend]]-Table_dat150_[[#This Row],[Cycle]]</f>
        <v>-3.2568795606634636E-2</v>
      </c>
      <c r="R5" s="9">
        <f>AVERAGEIF(Table_dat150_[Quarter], B5, Table_dat150_[High Frequency])</f>
        <v>-2.8472086212635514E-2</v>
      </c>
      <c r="S5" s="9">
        <f>Table_dat150_[[#This Row],[S0]]-AVERAGE($R$6:$R$9)</f>
        <v>-2.8378545544192432E-2</v>
      </c>
      <c r="U5" t="s">
        <v>8</v>
      </c>
      <c r="V5">
        <v>0.95762777411566813</v>
      </c>
      <c r="AE5" t="s">
        <v>8</v>
      </c>
      <c r="AF5">
        <v>0.95901700698572956</v>
      </c>
    </row>
    <row r="6" spans="1:36" x14ac:dyDescent="0.3">
      <c r="A6">
        <v>1951</v>
      </c>
      <c r="B6">
        <v>1</v>
      </c>
      <c r="C6" s="1">
        <f>DATE(Table_dat150_[[#This Row],[Year]],(Table_dat150_[[#This Row],[Quarter]]-1)*3+2,15)</f>
        <v>18674</v>
      </c>
      <c r="D6">
        <f>Table_dat150_[[#This Row],[Year]]+1/8+(Table_dat150_[[#This Row],[Quarter]]-1)/4</f>
        <v>1951.125</v>
      </c>
      <c r="E6">
        <f>Table_dat150_[[#This Row],[DecDate]]^2</f>
        <v>3806888.765625</v>
      </c>
      <c r="F6">
        <v>654</v>
      </c>
      <c r="G6" s="8">
        <f>LN(Table_dat150_[[#This Row],[Expenditure]])</f>
        <v>6.4831073514571989</v>
      </c>
      <c r="H6" s="9">
        <f t="shared" si="0"/>
        <v>-2.3880597014925373E-2</v>
      </c>
      <c r="I6" s="9">
        <f>(1+Table_dat150_[[#This Row],[gt]])^4 -1</f>
        <v>-9.2154840140159067E-2</v>
      </c>
      <c r="J6" s="9">
        <f>$V$18+$V$19*Table_dat150_[[#This Row],[DecDate]]</f>
        <v>689.06391201963379</v>
      </c>
      <c r="K6" s="9">
        <f>$V$37+$V$38*Table_dat150_[[#This Row],[DecDate]]+$V$39*Table_dat150_[[#This Row],[DecDate2]]</f>
        <v>705.22222372803662</v>
      </c>
      <c r="L6" s="9">
        <f>$AF$18+$AF$19*Table_dat150_[[#This Row],[DecDate]]</f>
        <v>6.5515160924308615</v>
      </c>
      <c r="M6" s="9">
        <f>$AF$37+$AF$38*Table_dat150_[[#This Row],[DecDate]]+$AF$39*Table_dat150_[[#This Row],[DecDate2]]</f>
        <v>6.5562521519148795</v>
      </c>
      <c r="N6" s="9">
        <f>Table_dat150_[[#This Row],[LogExpenditure]]-Table_dat150_[[#This Row],[Log Quadratic Trend]]</f>
        <v>-7.3144800457680681E-2</v>
      </c>
      <c r="O6" s="9">
        <f t="shared" si="1"/>
        <v>-1.0699122716114928E-2</v>
      </c>
      <c r="P6" s="9">
        <f>Table_dat150_[[#This Row],[Log Quadratic Trend]]+Table_dat150_[[#This Row],[Cycle]]</f>
        <v>6.5455530291987642</v>
      </c>
      <c r="Q6" s="9">
        <f>Table_dat150_[[#This Row],[LogExpenditure]]-Table_dat150_[[#This Row],[Log Quadratic Trend]]-Table_dat150_[[#This Row],[Cycle]]</f>
        <v>-6.2445677741565751E-2</v>
      </c>
      <c r="R6" s="10">
        <f>AVERAGEIF(Table_dat150_[Quarter], B6, Table_dat150_[High Frequency])</f>
        <v>-4.2281954239907563E-2</v>
      </c>
      <c r="S6" s="9">
        <f>Table_dat150_[[#This Row],[S0]]-AVERAGE($R$6:$R$9)</f>
        <v>-4.2188413571464481E-2</v>
      </c>
      <c r="U6" t="s">
        <v>9</v>
      </c>
      <c r="V6">
        <v>0.91705095375772916</v>
      </c>
      <c r="AE6" t="s">
        <v>9</v>
      </c>
      <c r="AF6">
        <v>0.91971361968786691</v>
      </c>
    </row>
    <row r="7" spans="1:36" x14ac:dyDescent="0.3">
      <c r="A7">
        <v>1951</v>
      </c>
      <c r="B7">
        <v>2</v>
      </c>
      <c r="C7" s="1">
        <f>DATE(Table_dat150_[[#This Row],[Year]],(Table_dat150_[[#This Row],[Quarter]]-1)*3+2,15)</f>
        <v>18763</v>
      </c>
      <c r="D7">
        <f>Table_dat150_[[#This Row],[Year]]+1/8+(Table_dat150_[[#This Row],[Quarter]]-1)/4</f>
        <v>1951.375</v>
      </c>
      <c r="E7">
        <f>Table_dat150_[[#This Row],[DecDate]]^2</f>
        <v>3807864.390625</v>
      </c>
      <c r="F7">
        <v>736</v>
      </c>
      <c r="G7" s="8">
        <f>LN(Table_dat150_[[#This Row],[Expenditure]])</f>
        <v>6.6012301187288767</v>
      </c>
      <c r="H7" s="9">
        <f t="shared" si="0"/>
        <v>0.12538226299694188</v>
      </c>
      <c r="I7" s="9">
        <f>(1+Table_dat150_[[#This Row],[gt]])^4 -1</f>
        <v>0.60398485773786392</v>
      </c>
      <c r="J7" s="9">
        <f>$V$18+$V$19*Table_dat150_[[#This Row],[DecDate]]</f>
        <v>690.36956756346081</v>
      </c>
      <c r="K7" s="9">
        <f>$V$37+$V$38*Table_dat150_[[#This Row],[DecDate]]+$V$39*Table_dat150_[[#This Row],[DecDate2]]</f>
        <v>706.16453274679952</v>
      </c>
      <c r="L7" s="9">
        <f>$AF$18+$AF$19*Table_dat150_[[#This Row],[DecDate]]</f>
        <v>6.5530221211816366</v>
      </c>
      <c r="M7" s="9">
        <f>$AF$37+$AF$38*Table_dat150_[[#This Row],[DecDate]]+$AF$39*Table_dat150_[[#This Row],[DecDate2]]</f>
        <v>6.5576516824876769</v>
      </c>
      <c r="N7" s="9">
        <f>Table_dat150_[[#This Row],[LogExpenditure]]-Table_dat150_[[#This Row],[Log Quadratic Trend]]</f>
        <v>4.3578436241199725E-2</v>
      </c>
      <c r="O7" s="9">
        <f t="shared" si="1"/>
        <v>-1.9528078927305969E-2</v>
      </c>
      <c r="P7" s="9">
        <f>Table_dat150_[[#This Row],[Log Quadratic Trend]]+Table_dat150_[[#This Row],[Cycle]]</f>
        <v>6.5381236035603711</v>
      </c>
      <c r="Q7" s="9">
        <f>Table_dat150_[[#This Row],[LogExpenditure]]-Table_dat150_[[#This Row],[Log Quadratic Trend]]-Table_dat150_[[#This Row],[Cycle]]</f>
        <v>6.3106515168505697E-2</v>
      </c>
      <c r="R7" s="10">
        <f>AVERAGEIF(Table_dat150_[Quarter], B7, Table_dat150_[High Frequency])</f>
        <v>3.2923068860816217E-2</v>
      </c>
      <c r="S7" s="9">
        <f>Table_dat150_[[#This Row],[S0]]-AVERAGE($R$6:$R$9)</f>
        <v>3.3016609529259298E-2</v>
      </c>
      <c r="U7" t="s">
        <v>10</v>
      </c>
      <c r="V7">
        <v>0.91675680820367855</v>
      </c>
      <c r="AE7" t="s">
        <v>10</v>
      </c>
      <c r="AF7">
        <v>0.91942891621158274</v>
      </c>
    </row>
    <row r="8" spans="1:36" x14ac:dyDescent="0.3">
      <c r="A8">
        <v>1951</v>
      </c>
      <c r="B8">
        <v>3</v>
      </c>
      <c r="C8" s="1">
        <f>DATE(Table_dat150_[[#This Row],[Year]],(Table_dat150_[[#This Row],[Quarter]]-1)*3+2,15)</f>
        <v>18855</v>
      </c>
      <c r="D8">
        <f>Table_dat150_[[#This Row],[Year]]+1/8+(Table_dat150_[[#This Row],[Quarter]]-1)/4</f>
        <v>1951.625</v>
      </c>
      <c r="E8">
        <f>Table_dat150_[[#This Row],[DecDate]]^2</f>
        <v>3808840.140625</v>
      </c>
      <c r="F8">
        <v>711</v>
      </c>
      <c r="G8" s="8">
        <f>LN(Table_dat150_[[#This Row],[Expenditure]])</f>
        <v>6.5666724298032406</v>
      </c>
      <c r="H8" s="9">
        <f t="shared" si="0"/>
        <v>-3.3967391304347824E-2</v>
      </c>
      <c r="I8" s="9">
        <f>(1+Table_dat150_[[#This Row],[gt]])^4 -1</f>
        <v>-0.12910229605436585</v>
      </c>
      <c r="J8" s="9">
        <f>$V$18+$V$19*Table_dat150_[[#This Row],[DecDate]]</f>
        <v>691.675223107286</v>
      </c>
      <c r="K8" s="9">
        <f>$V$37+$V$38*Table_dat150_[[#This Row],[DecDate]]+$V$39*Table_dat150_[[#This Row],[DecDate2]]</f>
        <v>707.10949392996554</v>
      </c>
      <c r="L8" s="9">
        <f>$AF$18+$AF$19*Table_dat150_[[#This Row],[DecDate]]</f>
        <v>6.5545281499324117</v>
      </c>
      <c r="M8" s="9">
        <f>$AF$37+$AF$38*Table_dat150_[[#This Row],[DecDate]]+$AF$39*Table_dat150_[[#This Row],[DecDate2]]</f>
        <v>6.5590519904194409</v>
      </c>
      <c r="N8" s="9">
        <f>Table_dat150_[[#This Row],[LogExpenditure]]-Table_dat150_[[#This Row],[Log Quadratic Trend]]</f>
        <v>7.6204393837997486E-3</v>
      </c>
      <c r="O8" s="9">
        <f t="shared" si="1"/>
        <v>-9.8951105973290147E-3</v>
      </c>
      <c r="P8" s="9">
        <f>Table_dat150_[[#This Row],[Log Quadratic Trend]]+Table_dat150_[[#This Row],[Cycle]]</f>
        <v>6.549156879822112</v>
      </c>
      <c r="Q8" s="9">
        <f>Table_dat150_[[#This Row],[LogExpenditure]]-Table_dat150_[[#This Row],[Log Quadratic Trend]]-Table_dat150_[[#This Row],[Cycle]]</f>
        <v>1.7515549981128763E-2</v>
      </c>
      <c r="R8" s="10">
        <f>AVERAGEIF(Table_dat150_[Quarter], B8, Table_dat150_[High Frequency])</f>
        <v>3.7456808917954526E-2</v>
      </c>
      <c r="S8" s="9">
        <f>Table_dat150_[[#This Row],[S0]]-AVERAGE($R$6:$R$9)</f>
        <v>3.7550349586397608E-2</v>
      </c>
      <c r="U8" t="s">
        <v>11</v>
      </c>
      <c r="V8">
        <v>32.307043964100757</v>
      </c>
      <c r="AE8" t="s">
        <v>11</v>
      </c>
      <c r="AF8">
        <v>3.6608971987043937E-2</v>
      </c>
    </row>
    <row r="9" spans="1:36" ht="15" thickBot="1" x14ac:dyDescent="0.35">
      <c r="A9">
        <v>1951</v>
      </c>
      <c r="B9">
        <v>4</v>
      </c>
      <c r="C9" s="1">
        <f>DATE(Table_dat150_[[#This Row],[Year]],(Table_dat150_[[#This Row],[Quarter]]-1)*3+2,15)</f>
        <v>18947</v>
      </c>
      <c r="D9">
        <f>Table_dat150_[[#This Row],[Year]]+1/8+(Table_dat150_[[#This Row],[Quarter]]-1)/4</f>
        <v>1951.875</v>
      </c>
      <c r="E9">
        <f>Table_dat150_[[#This Row],[DecDate]]^2</f>
        <v>3809816.015625</v>
      </c>
      <c r="F9">
        <v>687</v>
      </c>
      <c r="G9" s="8">
        <f>LN(Table_dat150_[[#This Row],[Expenditure]])</f>
        <v>6.5323342922223491</v>
      </c>
      <c r="H9" s="9">
        <f t="shared" si="0"/>
        <v>-3.3755274261603373E-2</v>
      </c>
      <c r="I9" s="9">
        <f>(1+Table_dat150_[[#This Row],[gt]])^4 -1</f>
        <v>-0.12833713307027694</v>
      </c>
      <c r="J9" s="9">
        <f>$V$18+$V$19*Table_dat150_[[#This Row],[DecDate]]</f>
        <v>692.98087865111302</v>
      </c>
      <c r="K9" s="9">
        <f>$V$37+$V$38*Table_dat150_[[#This Row],[DecDate]]+$V$39*Table_dat150_[[#This Row],[DecDate2]]</f>
        <v>708.05710727754922</v>
      </c>
      <c r="L9" s="9">
        <f>$AF$18+$AF$19*Table_dat150_[[#This Row],[DecDate]]</f>
        <v>6.5560341786831868</v>
      </c>
      <c r="M9" s="9">
        <f>$AF$37+$AF$38*Table_dat150_[[#This Row],[DecDate]]+$AF$39*Table_dat150_[[#This Row],[DecDate2]]</f>
        <v>6.5604530757101713</v>
      </c>
      <c r="N9" s="9">
        <f>Table_dat150_[[#This Row],[LogExpenditure]]-Table_dat150_[[#This Row],[Log Quadratic Trend]]</f>
        <v>-2.8118783487822263E-2</v>
      </c>
      <c r="O9" s="9">
        <f t="shared" si="1"/>
        <v>7.0975019404283298E-3</v>
      </c>
      <c r="P9" s="9">
        <f>Table_dat150_[[#This Row],[Log Quadratic Trend]]+Table_dat150_[[#This Row],[Cycle]]</f>
        <v>6.5675505776506</v>
      </c>
      <c r="Q9" s="9">
        <f>Table_dat150_[[#This Row],[LogExpenditure]]-Table_dat150_[[#This Row],[Log Quadratic Trend]]-Table_dat150_[[#This Row],[Cycle]]</f>
        <v>-3.5216285428250595E-2</v>
      </c>
      <c r="R9" s="10">
        <f>AVERAGEIF(Table_dat150_[Quarter], B9, Table_dat150_[High Frequency])</f>
        <v>-2.8472086212635514E-2</v>
      </c>
      <c r="S9" s="9">
        <f>Table_dat150_[[#This Row],[S0]]-AVERAGE($R$6:$R$9)</f>
        <v>-2.8378545544192432E-2</v>
      </c>
      <c r="U9" s="2" t="s">
        <v>12</v>
      </c>
      <c r="V9" s="2">
        <v>284</v>
      </c>
      <c r="AE9" s="2" t="s">
        <v>12</v>
      </c>
      <c r="AF9" s="2">
        <v>284</v>
      </c>
    </row>
    <row r="10" spans="1:36" x14ac:dyDescent="0.3">
      <c r="A10">
        <v>1952</v>
      </c>
      <c r="B10">
        <v>1</v>
      </c>
      <c r="C10" s="1">
        <f>DATE(Table_dat150_[[#This Row],[Year]],(Table_dat150_[[#This Row],[Quarter]]-1)*3+2,15)</f>
        <v>19039</v>
      </c>
      <c r="D10">
        <f>Table_dat150_[[#This Row],[Year]]+1/8+(Table_dat150_[[#This Row],[Quarter]]-1)/4</f>
        <v>1952.125</v>
      </c>
      <c r="E10">
        <f>Table_dat150_[[#This Row],[DecDate]]^2</f>
        <v>3810792.015625</v>
      </c>
      <c r="F10">
        <v>708</v>
      </c>
      <c r="G10" s="8">
        <f>LN(Table_dat150_[[#This Row],[Expenditure]])</f>
        <v>6.5624440936937196</v>
      </c>
      <c r="H10" s="9">
        <f t="shared" si="0"/>
        <v>3.0567685589519649E-2</v>
      </c>
      <c r="I10" s="9">
        <f>(1+Table_dat150_[[#This Row],[gt]])^4 -1</f>
        <v>0.12799216359646537</v>
      </c>
      <c r="J10" s="9">
        <f>$V$18+$V$19*Table_dat150_[[#This Row],[DecDate]]</f>
        <v>694.28653419494003</v>
      </c>
      <c r="K10" s="9">
        <f>$V$37+$V$38*Table_dat150_[[#This Row],[DecDate]]+$V$39*Table_dat150_[[#This Row],[DecDate2]]</f>
        <v>709.00737278955057</v>
      </c>
      <c r="L10" s="9">
        <f>$AF$18+$AF$19*Table_dat150_[[#This Row],[DecDate]]</f>
        <v>6.5575402074339619</v>
      </c>
      <c r="M10" s="9">
        <f>$AF$37+$AF$38*Table_dat150_[[#This Row],[DecDate]]+$AF$39*Table_dat150_[[#This Row],[DecDate2]]</f>
        <v>6.5618549383598612</v>
      </c>
      <c r="N10" s="9">
        <f>Table_dat150_[[#This Row],[LogExpenditure]]-Table_dat150_[[#This Row],[Log Quadratic Trend]]</f>
        <v>5.8915533385839325E-4</v>
      </c>
      <c r="O10" s="9">
        <f t="shared" si="1"/>
        <v>4.332307494917309E-3</v>
      </c>
      <c r="P10" s="9">
        <f>Table_dat150_[[#This Row],[Log Quadratic Trend]]+Table_dat150_[[#This Row],[Cycle]]</f>
        <v>6.5661872458547785</v>
      </c>
      <c r="Q10" s="9">
        <f>Table_dat150_[[#This Row],[LogExpenditure]]-Table_dat150_[[#This Row],[Log Quadratic Trend]]-Table_dat150_[[#This Row],[Cycle]]</f>
        <v>-3.7431521610589158E-3</v>
      </c>
      <c r="R10" s="9">
        <f>AVERAGEIF(Table_dat150_[Quarter], B10, Table_dat150_[High Frequency])</f>
        <v>-4.2281954239907563E-2</v>
      </c>
      <c r="S10" s="9">
        <f>Table_dat150_[[#This Row],[S0]]-AVERAGE($R$6:$R$9)</f>
        <v>-4.2188413571464481E-2</v>
      </c>
    </row>
    <row r="11" spans="1:36" ht="15" thickBot="1" x14ac:dyDescent="0.35">
      <c r="A11">
        <v>1952</v>
      </c>
      <c r="B11">
        <v>2</v>
      </c>
      <c r="C11" s="1">
        <f>DATE(Table_dat150_[[#This Row],[Year]],(Table_dat150_[[#This Row],[Quarter]]-1)*3+2,15)</f>
        <v>19129</v>
      </c>
      <c r="D11">
        <f>Table_dat150_[[#This Row],[Year]]+1/8+(Table_dat150_[[#This Row],[Quarter]]-1)/4</f>
        <v>1952.375</v>
      </c>
      <c r="E11">
        <f>Table_dat150_[[#This Row],[DecDate]]^2</f>
        <v>3811768.140625</v>
      </c>
      <c r="F11">
        <v>717</v>
      </c>
      <c r="G11" s="8">
        <f>LN(Table_dat150_[[#This Row],[Expenditure]])</f>
        <v>6.5750758405996201</v>
      </c>
      <c r="H11" s="9">
        <f t="shared" si="0"/>
        <v>1.2711864406779662E-2</v>
      </c>
      <c r="I11" s="9">
        <f>(1+Table_dat150_[[#This Row],[gt]])^4 -1</f>
        <v>5.1825249235889714E-2</v>
      </c>
      <c r="J11" s="9">
        <f>$V$18+$V$19*Table_dat150_[[#This Row],[DecDate]]</f>
        <v>695.59218973876705</v>
      </c>
      <c r="K11" s="9">
        <f>$V$37+$V$38*Table_dat150_[[#This Row],[DecDate]]+$V$39*Table_dat150_[[#This Row],[DecDate2]]</f>
        <v>709.96029046592594</v>
      </c>
      <c r="L11" s="9">
        <f>$AF$18+$AF$19*Table_dat150_[[#This Row],[DecDate]]</f>
        <v>6.5590462361847388</v>
      </c>
      <c r="M11" s="9">
        <f>$AF$37+$AF$38*Table_dat150_[[#This Row],[DecDate]]+$AF$39*Table_dat150_[[#This Row],[DecDate2]]</f>
        <v>6.5632575783685141</v>
      </c>
      <c r="N11" s="9">
        <f>Table_dat150_[[#This Row],[LogExpenditure]]-Table_dat150_[[#This Row],[Log Quadratic Trend]]</f>
        <v>1.1818262231106047E-2</v>
      </c>
      <c r="O11" s="9">
        <f t="shared" si="1"/>
        <v>-5.3988869056926349E-3</v>
      </c>
      <c r="P11" s="9">
        <f>Table_dat150_[[#This Row],[Log Quadratic Trend]]+Table_dat150_[[#This Row],[Cycle]]</f>
        <v>6.5578586914628216</v>
      </c>
      <c r="Q11" s="9">
        <f>Table_dat150_[[#This Row],[LogExpenditure]]-Table_dat150_[[#This Row],[Log Quadratic Trend]]-Table_dat150_[[#This Row],[Cycle]]</f>
        <v>1.7217149136798681E-2</v>
      </c>
      <c r="R11" s="9">
        <f>AVERAGEIF(Table_dat150_[Quarter], B11, Table_dat150_[High Frequency])</f>
        <v>3.2923068860816217E-2</v>
      </c>
      <c r="S11" s="9">
        <f>Table_dat150_[[#This Row],[S0]]-AVERAGE($R$6:$R$9)</f>
        <v>3.3016609529259298E-2</v>
      </c>
      <c r="U11" t="s">
        <v>13</v>
      </c>
      <c r="AE11" t="s">
        <v>13</v>
      </c>
    </row>
    <row r="12" spans="1:36" x14ac:dyDescent="0.3">
      <c r="A12">
        <v>1952</v>
      </c>
      <c r="B12">
        <v>3</v>
      </c>
      <c r="C12" s="1">
        <f>DATE(Table_dat150_[[#This Row],[Year]],(Table_dat150_[[#This Row],[Quarter]]-1)*3+2,15)</f>
        <v>19221</v>
      </c>
      <c r="D12">
        <f>Table_dat150_[[#This Row],[Year]]+1/8+(Table_dat150_[[#This Row],[Quarter]]-1)/4</f>
        <v>1952.625</v>
      </c>
      <c r="E12">
        <f>Table_dat150_[[#This Row],[DecDate]]^2</f>
        <v>3812744.390625</v>
      </c>
      <c r="F12">
        <v>731</v>
      </c>
      <c r="G12" s="8">
        <f>LN(Table_dat150_[[#This Row],[Expenditure]])</f>
        <v>6.5944134597497781</v>
      </c>
      <c r="H12" s="9">
        <f t="shared" si="0"/>
        <v>1.9525801952580194E-2</v>
      </c>
      <c r="I12" s="9">
        <f>(1+Table_dat150_[[#This Row],[gt]])^4 -1</f>
        <v>8.0420672208685984E-2</v>
      </c>
      <c r="J12" s="9">
        <f>$V$18+$V$19*Table_dat150_[[#This Row],[DecDate]]</f>
        <v>696.89784528259224</v>
      </c>
      <c r="K12" s="9">
        <f>$V$37+$V$38*Table_dat150_[[#This Row],[DecDate]]+$V$39*Table_dat150_[[#This Row],[DecDate2]]</f>
        <v>710.91586030676262</v>
      </c>
      <c r="L12" s="9">
        <f>$AF$18+$AF$19*Table_dat150_[[#This Row],[DecDate]]</f>
        <v>6.5605522649355139</v>
      </c>
      <c r="M12" s="9">
        <f>$AF$37+$AF$38*Table_dat150_[[#This Row],[DecDate]]+$AF$39*Table_dat150_[[#This Row],[DecDate2]]</f>
        <v>6.5646609957361335</v>
      </c>
      <c r="N12" s="9">
        <f>Table_dat150_[[#This Row],[LogExpenditure]]-Table_dat150_[[#This Row],[Log Quadratic Trend]]</f>
        <v>2.9752464013644619E-2</v>
      </c>
      <c r="O12" s="9">
        <f t="shared" si="1"/>
        <v>-1.0920096788833433E-2</v>
      </c>
      <c r="P12" s="9">
        <f>Table_dat150_[[#This Row],[Log Quadratic Trend]]+Table_dat150_[[#This Row],[Cycle]]</f>
        <v>6.5537408989473001</v>
      </c>
      <c r="Q12" s="9">
        <f>Table_dat150_[[#This Row],[LogExpenditure]]-Table_dat150_[[#This Row],[Log Quadratic Trend]]-Table_dat150_[[#This Row],[Cycle]]</f>
        <v>4.0672560802478053E-2</v>
      </c>
      <c r="R12" s="9">
        <f>AVERAGEIF(Table_dat150_[Quarter], B12, Table_dat150_[High Frequency])</f>
        <v>3.7456808917954526E-2</v>
      </c>
      <c r="S12" s="9">
        <f>Table_dat150_[[#This Row],[S0]]-AVERAGE($R$6:$R$9)</f>
        <v>3.7550349586397608E-2</v>
      </c>
      <c r="U12" s="3"/>
      <c r="V12" s="3" t="s">
        <v>18</v>
      </c>
      <c r="W12" s="3" t="s">
        <v>19</v>
      </c>
      <c r="X12" s="3" t="s">
        <v>20</v>
      </c>
      <c r="Y12" s="3" t="s">
        <v>21</v>
      </c>
      <c r="Z12" s="3" t="s">
        <v>22</v>
      </c>
      <c r="AE12" s="3"/>
      <c r="AF12" s="3" t="s">
        <v>18</v>
      </c>
      <c r="AG12" s="3" t="s">
        <v>19</v>
      </c>
      <c r="AH12" s="3" t="s">
        <v>20</v>
      </c>
      <c r="AI12" s="3" t="s">
        <v>21</v>
      </c>
      <c r="AJ12" s="3" t="s">
        <v>22</v>
      </c>
    </row>
    <row r="13" spans="1:36" x14ac:dyDescent="0.3">
      <c r="A13">
        <v>1952</v>
      </c>
      <c r="B13">
        <v>4</v>
      </c>
      <c r="C13" s="1">
        <f>DATE(Table_dat150_[[#This Row],[Year]],(Table_dat150_[[#This Row],[Quarter]]-1)*3+2,15)</f>
        <v>19313</v>
      </c>
      <c r="D13">
        <f>Table_dat150_[[#This Row],[Year]]+1/8+(Table_dat150_[[#This Row],[Quarter]]-1)/4</f>
        <v>1952.875</v>
      </c>
      <c r="E13">
        <f>Table_dat150_[[#This Row],[DecDate]]^2</f>
        <v>3813720.765625</v>
      </c>
      <c r="F13">
        <v>682</v>
      </c>
      <c r="G13" s="8">
        <f>LN(Table_dat150_[[#This Row],[Expenditure]])</f>
        <v>6.5250296578434623</v>
      </c>
      <c r="H13" s="9">
        <f t="shared" si="0"/>
        <v>-6.7031463748290013E-2</v>
      </c>
      <c r="I13" s="9">
        <f>(1+Table_dat150_[[#This Row],[gt]])^4 -1</f>
        <v>-0.24235111088478423</v>
      </c>
      <c r="J13" s="9">
        <f>$V$18+$V$19*Table_dat150_[[#This Row],[DecDate]]</f>
        <v>698.20350082641926</v>
      </c>
      <c r="K13" s="9">
        <f>$V$37+$V$38*Table_dat150_[[#This Row],[DecDate]]+$V$39*Table_dat150_[[#This Row],[DecDate2]]</f>
        <v>711.87408231201698</v>
      </c>
      <c r="L13" s="9">
        <f>$AF$18+$AF$19*Table_dat150_[[#This Row],[DecDate]]</f>
        <v>6.562058293686289</v>
      </c>
      <c r="M13" s="9">
        <f>$AF$37+$AF$38*Table_dat150_[[#This Row],[DecDate]]+$AF$39*Table_dat150_[[#This Row],[DecDate2]]</f>
        <v>6.5660651904627123</v>
      </c>
      <c r="N13" s="9">
        <f>Table_dat150_[[#This Row],[LogExpenditure]]-Table_dat150_[[#This Row],[Log Quadratic Trend]]</f>
        <v>-4.103553261924997E-2</v>
      </c>
      <c r="O13" s="9">
        <f t="shared" si="1"/>
        <v>-8.4080824755924152E-3</v>
      </c>
      <c r="P13" s="9">
        <f>Table_dat150_[[#This Row],[Log Quadratic Trend]]+Table_dat150_[[#This Row],[Cycle]]</f>
        <v>6.5576571079871195</v>
      </c>
      <c r="Q13" s="9">
        <f>Table_dat150_[[#This Row],[LogExpenditure]]-Table_dat150_[[#This Row],[Log Quadratic Trend]]-Table_dat150_[[#This Row],[Cycle]]</f>
        <v>-3.2627450143657553E-2</v>
      </c>
      <c r="R13" s="9">
        <f>AVERAGEIF(Table_dat150_[Quarter], B13, Table_dat150_[High Frequency])</f>
        <v>-2.8472086212635514E-2</v>
      </c>
      <c r="S13" s="9">
        <f>Table_dat150_[[#This Row],[S0]]-AVERAGE($R$6:$R$9)</f>
        <v>-2.8378545544192432E-2</v>
      </c>
      <c r="U13" t="s">
        <v>14</v>
      </c>
      <c r="V13">
        <v>1</v>
      </c>
      <c r="W13">
        <v>3254060.5044233771</v>
      </c>
      <c r="X13">
        <v>3254060.5044233771</v>
      </c>
      <c r="Y13">
        <v>3117.6774257820539</v>
      </c>
      <c r="Z13">
        <v>1.7680824077559343E-154</v>
      </c>
      <c r="AE13" t="s">
        <v>14</v>
      </c>
      <c r="AF13">
        <v>1</v>
      </c>
      <c r="AG13">
        <v>4.3294717996627696</v>
      </c>
      <c r="AH13">
        <v>4.3294717996627696</v>
      </c>
      <c r="AI13">
        <v>3230.4263779691601</v>
      </c>
      <c r="AJ13">
        <v>1.7740899625783098E-156</v>
      </c>
    </row>
    <row r="14" spans="1:36" x14ac:dyDescent="0.3">
      <c r="A14">
        <v>1953</v>
      </c>
      <c r="B14">
        <v>1</v>
      </c>
      <c r="C14" s="1">
        <f>DATE(Table_dat150_[[#This Row],[Year]],(Table_dat150_[[#This Row],[Quarter]]-1)*3+2,15)</f>
        <v>19405</v>
      </c>
      <c r="D14">
        <f>Table_dat150_[[#This Row],[Year]]+1/8+(Table_dat150_[[#This Row],[Quarter]]-1)/4</f>
        <v>1953.125</v>
      </c>
      <c r="E14">
        <f>Table_dat150_[[#This Row],[DecDate]]^2</f>
        <v>3814697.265625</v>
      </c>
      <c r="F14">
        <v>673</v>
      </c>
      <c r="G14" s="8">
        <f>LN(Table_dat150_[[#This Row],[Expenditure]])</f>
        <v>6.5117453296447279</v>
      </c>
      <c r="H14" s="9">
        <f t="shared" si="0"/>
        <v>-1.3196480938416423E-2</v>
      </c>
      <c r="I14" s="9">
        <f>(1+Table_dat150_[[#This Row],[gt]])^4 -1</f>
        <v>-5.1750203287527996E-2</v>
      </c>
      <c r="J14" s="9">
        <f>$V$18+$V$19*Table_dat150_[[#This Row],[DecDate]]</f>
        <v>699.50915637024627</v>
      </c>
      <c r="K14" s="9">
        <f>$V$37+$V$38*Table_dat150_[[#This Row],[DecDate]]+$V$39*Table_dat150_[[#This Row],[DecDate2]]</f>
        <v>712.83495648168901</v>
      </c>
      <c r="L14" s="9">
        <f>$AF$18+$AF$19*Table_dat150_[[#This Row],[DecDate]]</f>
        <v>6.5635643224370641</v>
      </c>
      <c r="M14" s="9">
        <f>$AF$37+$AF$38*Table_dat150_[[#This Row],[DecDate]]+$AF$39*Table_dat150_[[#This Row],[DecDate2]]</f>
        <v>6.5674701625482541</v>
      </c>
      <c r="N14" s="9">
        <f>Table_dat150_[[#This Row],[LogExpenditure]]-Table_dat150_[[#This Row],[Log Quadratic Trend]]</f>
        <v>-5.5724832903526256E-2</v>
      </c>
      <c r="O14" s="9">
        <f t="shared" si="1"/>
        <v>-1.0651630213144258E-2</v>
      </c>
      <c r="P14" s="9">
        <f>Table_dat150_[[#This Row],[Log Quadratic Trend]]+Table_dat150_[[#This Row],[Cycle]]</f>
        <v>6.55681853233511</v>
      </c>
      <c r="Q14" s="9">
        <f>Table_dat150_[[#This Row],[LogExpenditure]]-Table_dat150_[[#This Row],[Log Quadratic Trend]]-Table_dat150_[[#This Row],[Cycle]]</f>
        <v>-4.5073202690381994E-2</v>
      </c>
      <c r="R14" s="9">
        <f>AVERAGEIF(Table_dat150_[Quarter], B14, Table_dat150_[High Frequency])</f>
        <v>-4.2281954239907563E-2</v>
      </c>
      <c r="S14" s="9">
        <f>Table_dat150_[[#This Row],[S0]]-AVERAGE($R$6:$R$9)</f>
        <v>-4.2188413571464481E-2</v>
      </c>
      <c r="U14" t="s">
        <v>15</v>
      </c>
      <c r="V14">
        <v>282</v>
      </c>
      <c r="W14">
        <v>294336.11529493163</v>
      </c>
      <c r="X14">
        <v>1043.7450896983391</v>
      </c>
      <c r="AE14" t="s">
        <v>15</v>
      </c>
      <c r="AF14">
        <v>282</v>
      </c>
      <c r="AG14">
        <v>0.37794114604538337</v>
      </c>
      <c r="AH14">
        <v>1.3402168299481679E-3</v>
      </c>
    </row>
    <row r="15" spans="1:36" ht="15" thickBot="1" x14ac:dyDescent="0.35">
      <c r="A15">
        <v>1953</v>
      </c>
      <c r="B15">
        <v>2</v>
      </c>
      <c r="C15" s="1">
        <f>DATE(Table_dat150_[[#This Row],[Year]],(Table_dat150_[[#This Row],[Quarter]]-1)*3+2,15)</f>
        <v>19494</v>
      </c>
      <c r="D15">
        <f>Table_dat150_[[#This Row],[Year]]+1/8+(Table_dat150_[[#This Row],[Quarter]]-1)/4</f>
        <v>1953.375</v>
      </c>
      <c r="E15">
        <f>Table_dat150_[[#This Row],[DecDate]]^2</f>
        <v>3815673.890625</v>
      </c>
      <c r="F15">
        <v>722</v>
      </c>
      <c r="G15" s="8">
        <f>LN(Table_dat150_[[#This Row],[Expenditure]])</f>
        <v>6.5820251388928259</v>
      </c>
      <c r="H15" s="9">
        <f t="shared" si="0"/>
        <v>7.280832095096583E-2</v>
      </c>
      <c r="I15" s="9">
        <f>(1+Table_dat150_[[#This Row],[gt]])^4 -1</f>
        <v>0.3246115372151126</v>
      </c>
      <c r="J15" s="9">
        <f>$V$18+$V$19*Table_dat150_[[#This Row],[DecDate]]</f>
        <v>700.81481191407147</v>
      </c>
      <c r="K15" s="9">
        <f>$V$37+$V$38*Table_dat150_[[#This Row],[DecDate]]+$V$39*Table_dat150_[[#This Row],[DecDate2]]</f>
        <v>713.79848281576415</v>
      </c>
      <c r="L15" s="9">
        <f>$AF$18+$AF$19*Table_dat150_[[#This Row],[DecDate]]</f>
        <v>6.5650703511878392</v>
      </c>
      <c r="M15" s="9">
        <f>$AF$37+$AF$38*Table_dat150_[[#This Row],[DecDate]]+$AF$39*Table_dat150_[[#This Row],[DecDate2]]</f>
        <v>6.5688759119927624</v>
      </c>
      <c r="N15" s="9">
        <f>Table_dat150_[[#This Row],[LogExpenditure]]-Table_dat150_[[#This Row],[Log Quadratic Trend]]</f>
        <v>1.3149226900063482E-2</v>
      </c>
      <c r="O15" s="9">
        <f t="shared" si="1"/>
        <v>-2.5934140038914321E-2</v>
      </c>
      <c r="P15" s="9">
        <f>Table_dat150_[[#This Row],[Log Quadratic Trend]]+Table_dat150_[[#This Row],[Cycle]]</f>
        <v>6.5429417719538483</v>
      </c>
      <c r="Q15" s="9">
        <f>Table_dat150_[[#This Row],[LogExpenditure]]-Table_dat150_[[#This Row],[Log Quadratic Trend]]-Table_dat150_[[#This Row],[Cycle]]</f>
        <v>3.9083366938977807E-2</v>
      </c>
      <c r="R15" s="9">
        <f>AVERAGEIF(Table_dat150_[Quarter], B15, Table_dat150_[High Frequency])</f>
        <v>3.2923068860816217E-2</v>
      </c>
      <c r="S15" s="9">
        <f>Table_dat150_[[#This Row],[S0]]-AVERAGE($R$6:$R$9)</f>
        <v>3.3016609529259298E-2</v>
      </c>
      <c r="U15" s="2" t="s">
        <v>16</v>
      </c>
      <c r="V15" s="2">
        <v>283</v>
      </c>
      <c r="W15" s="2">
        <v>3548396.6197183086</v>
      </c>
      <c r="X15" s="2"/>
      <c r="Y15" s="2"/>
      <c r="Z15" s="2"/>
      <c r="AE15" s="2" t="s">
        <v>16</v>
      </c>
      <c r="AF15" s="2">
        <v>283</v>
      </c>
      <c r="AG15" s="2">
        <v>4.7074129457081533</v>
      </c>
      <c r="AH15" s="2"/>
      <c r="AI15" s="2"/>
      <c r="AJ15" s="2"/>
    </row>
    <row r="16" spans="1:36" ht="15" thickBot="1" x14ac:dyDescent="0.35">
      <c r="A16">
        <v>1953</v>
      </c>
      <c r="B16">
        <v>3</v>
      </c>
      <c r="C16" s="1">
        <f>DATE(Table_dat150_[[#This Row],[Year]],(Table_dat150_[[#This Row],[Quarter]]-1)*3+2,15)</f>
        <v>19586</v>
      </c>
      <c r="D16">
        <f>Table_dat150_[[#This Row],[Year]]+1/8+(Table_dat150_[[#This Row],[Quarter]]-1)/4</f>
        <v>1953.625</v>
      </c>
      <c r="E16">
        <f>Table_dat150_[[#This Row],[DecDate]]^2</f>
        <v>3816650.640625</v>
      </c>
      <c r="F16">
        <v>714</v>
      </c>
      <c r="G16" s="8">
        <f>LN(Table_dat150_[[#This Row],[Expenditure]])</f>
        <v>6.5708829623395841</v>
      </c>
      <c r="H16" s="9">
        <f t="shared" si="0"/>
        <v>-1.1080332409972299E-2</v>
      </c>
      <c r="I16" s="9">
        <f>(1+Table_dat150_[[#This Row],[gt]])^4 -1</f>
        <v>-4.3590113465166502E-2</v>
      </c>
      <c r="J16" s="9">
        <f>$V$18+$V$19*Table_dat150_[[#This Row],[DecDate]]</f>
        <v>702.12046745789849</v>
      </c>
      <c r="K16" s="9">
        <f>$V$37+$V$38*Table_dat150_[[#This Row],[DecDate]]+$V$39*Table_dat150_[[#This Row],[DecDate2]]</f>
        <v>714.76466131427151</v>
      </c>
      <c r="L16" s="9">
        <f>$AF$18+$AF$19*Table_dat150_[[#This Row],[DecDate]]</f>
        <v>6.5665763799386143</v>
      </c>
      <c r="M16" s="9">
        <f>$AF$37+$AF$38*Table_dat150_[[#This Row],[DecDate]]+$AF$39*Table_dat150_[[#This Row],[DecDate2]]</f>
        <v>6.5702824387962373</v>
      </c>
      <c r="N16" s="9">
        <f>Table_dat150_[[#This Row],[LogExpenditure]]-Table_dat150_[[#This Row],[Log Quadratic Trend]]</f>
        <v>6.0052354334683145E-4</v>
      </c>
      <c r="O16" s="9">
        <f t="shared" si="1"/>
        <v>-2.3852206309716451E-2</v>
      </c>
      <c r="P16" s="9">
        <f>Table_dat150_[[#This Row],[Log Quadratic Trend]]+Table_dat150_[[#This Row],[Cycle]]</f>
        <v>6.5464302324865207</v>
      </c>
      <c r="Q16" s="9">
        <f>Table_dat150_[[#This Row],[LogExpenditure]]-Table_dat150_[[#This Row],[Log Quadratic Trend]]-Table_dat150_[[#This Row],[Cycle]]</f>
        <v>2.4452729853063283E-2</v>
      </c>
      <c r="R16" s="9">
        <f>AVERAGEIF(Table_dat150_[Quarter], B16, Table_dat150_[High Frequency])</f>
        <v>3.7456808917954526E-2</v>
      </c>
      <c r="S16" s="9">
        <f>Table_dat150_[[#This Row],[S0]]-AVERAGE($R$6:$R$9)</f>
        <v>3.7550349586397608E-2</v>
      </c>
    </row>
    <row r="17" spans="1:39" x14ac:dyDescent="0.3">
      <c r="A17">
        <v>1953</v>
      </c>
      <c r="B17">
        <v>4</v>
      </c>
      <c r="C17" s="1">
        <f>DATE(Table_dat150_[[#This Row],[Year]],(Table_dat150_[[#This Row],[Quarter]]-1)*3+2,15)</f>
        <v>19678</v>
      </c>
      <c r="D17">
        <f>Table_dat150_[[#This Row],[Year]]+1/8+(Table_dat150_[[#This Row],[Quarter]]-1)/4</f>
        <v>1953.875</v>
      </c>
      <c r="E17">
        <f>Table_dat150_[[#This Row],[DecDate]]^2</f>
        <v>3817627.515625</v>
      </c>
      <c r="F17">
        <v>682</v>
      </c>
      <c r="G17" s="8">
        <f>LN(Table_dat150_[[#This Row],[Expenditure]])</f>
        <v>6.5250296578434623</v>
      </c>
      <c r="H17" s="9">
        <f t="shared" si="0"/>
        <v>-4.4817927170868348E-2</v>
      </c>
      <c r="I17" s="9">
        <f>(1+Table_dat150_[[#This Row],[gt]])^4 -1</f>
        <v>-0.16757588795435341</v>
      </c>
      <c r="J17" s="9">
        <f>$V$18+$V$19*Table_dat150_[[#This Row],[DecDate]]</f>
        <v>703.4261230017255</v>
      </c>
      <c r="K17" s="9">
        <f>$V$37+$V$38*Table_dat150_[[#This Row],[DecDate]]+$V$39*Table_dat150_[[#This Row],[DecDate2]]</f>
        <v>715.73349197718198</v>
      </c>
      <c r="L17" s="9">
        <f>$AF$18+$AF$19*Table_dat150_[[#This Row],[DecDate]]</f>
        <v>6.5680824086893912</v>
      </c>
      <c r="M17" s="9">
        <f>$AF$37+$AF$38*Table_dat150_[[#This Row],[DecDate]]+$AF$39*Table_dat150_[[#This Row],[DecDate2]]</f>
        <v>6.571689742958668</v>
      </c>
      <c r="N17" s="9">
        <f>Table_dat150_[[#This Row],[LogExpenditure]]-Table_dat150_[[#This Row],[Log Quadratic Trend]]</f>
        <v>-4.6660085115205696E-2</v>
      </c>
      <c r="O17" s="9">
        <f t="shared" si="1"/>
        <v>-3.5939350950258131E-3</v>
      </c>
      <c r="P17" s="9">
        <f>Table_dat150_[[#This Row],[Log Quadratic Trend]]+Table_dat150_[[#This Row],[Cycle]]</f>
        <v>6.5680958078636422</v>
      </c>
      <c r="Q17" s="9">
        <f>Table_dat150_[[#This Row],[LogExpenditure]]-Table_dat150_[[#This Row],[Log Quadratic Trend]]-Table_dat150_[[#This Row],[Cycle]]</f>
        <v>-4.3066150020179883E-2</v>
      </c>
      <c r="R17" s="9">
        <f>AVERAGEIF(Table_dat150_[Quarter], B17, Table_dat150_[High Frequency])</f>
        <v>-2.8472086212635514E-2</v>
      </c>
      <c r="S17" s="9">
        <f>Table_dat150_[[#This Row],[S0]]-AVERAGE($R$6:$R$9)</f>
        <v>-2.8378545544192432E-2</v>
      </c>
      <c r="U17" s="3"/>
      <c r="V17" s="3" t="s">
        <v>23</v>
      </c>
      <c r="W17" s="3" t="s">
        <v>11</v>
      </c>
      <c r="X17" s="3" t="s">
        <v>24</v>
      </c>
      <c r="Y17" s="3" t="s">
        <v>25</v>
      </c>
      <c r="Z17" s="3" t="s">
        <v>26</v>
      </c>
      <c r="AA17" s="3" t="s">
        <v>27</v>
      </c>
      <c r="AB17" s="3" t="s">
        <v>28</v>
      </c>
      <c r="AC17" s="3" t="s">
        <v>29</v>
      </c>
      <c r="AE17" s="3"/>
      <c r="AF17" s="3" t="s">
        <v>23</v>
      </c>
      <c r="AG17" s="3" t="s">
        <v>11</v>
      </c>
      <c r="AH17" s="3" t="s">
        <v>24</v>
      </c>
      <c r="AI17" s="3" t="s">
        <v>25</v>
      </c>
      <c r="AJ17" s="3" t="s">
        <v>26</v>
      </c>
      <c r="AK17" s="3" t="s">
        <v>27</v>
      </c>
      <c r="AL17" s="3" t="s">
        <v>28</v>
      </c>
      <c r="AM17" s="3" t="s">
        <v>29</v>
      </c>
    </row>
    <row r="18" spans="1:39" x14ac:dyDescent="0.3">
      <c r="A18">
        <v>1954</v>
      </c>
      <c r="B18">
        <v>1</v>
      </c>
      <c r="C18" s="1">
        <f>DATE(Table_dat150_[[#This Row],[Year]],(Table_dat150_[[#This Row],[Quarter]]-1)*3+2,15)</f>
        <v>19770</v>
      </c>
      <c r="D18">
        <f>Table_dat150_[[#This Row],[Year]]+1/8+(Table_dat150_[[#This Row],[Quarter]]-1)/4</f>
        <v>1954.125</v>
      </c>
      <c r="E18">
        <f>Table_dat150_[[#This Row],[DecDate]]^2</f>
        <v>3818604.515625</v>
      </c>
      <c r="F18">
        <v>694</v>
      </c>
      <c r="G18" s="8">
        <f>LN(Table_dat150_[[#This Row],[Expenditure]])</f>
        <v>6.5424719605068047</v>
      </c>
      <c r="H18" s="9">
        <f t="shared" si="0"/>
        <v>1.7595307917888565E-2</v>
      </c>
      <c r="I18" s="9">
        <f>(1+Table_dat150_[[#This Row],[gt]])^4 -1</f>
        <v>7.2260686352500825E-2</v>
      </c>
      <c r="J18" s="9">
        <f>$V$18+$V$19*Table_dat150_[[#This Row],[DecDate]]</f>
        <v>704.7317785455507</v>
      </c>
      <c r="K18" s="9">
        <f>$V$37+$V$38*Table_dat150_[[#This Row],[DecDate]]+$V$39*Table_dat150_[[#This Row],[DecDate2]]</f>
        <v>716.70497480449558</v>
      </c>
      <c r="L18" s="9">
        <f>$AF$18+$AF$19*Table_dat150_[[#This Row],[DecDate]]</f>
        <v>6.5695884374401663</v>
      </c>
      <c r="M18" s="9">
        <f>$AF$37+$AF$38*Table_dat150_[[#This Row],[DecDate]]+$AF$39*Table_dat150_[[#This Row],[DecDate2]]</f>
        <v>6.5730978244800653</v>
      </c>
      <c r="N18" s="9">
        <f>Table_dat150_[[#This Row],[LogExpenditure]]-Table_dat150_[[#This Row],[Log Quadratic Trend]]</f>
        <v>-3.0625863973260614E-2</v>
      </c>
      <c r="O18" s="9">
        <f t="shared" si="1"/>
        <v>-6.9505358561874784E-3</v>
      </c>
      <c r="P18" s="9">
        <f>Table_dat150_[[#This Row],[Log Quadratic Trend]]+Table_dat150_[[#This Row],[Cycle]]</f>
        <v>6.5661472886238776</v>
      </c>
      <c r="Q18" s="9">
        <f>Table_dat150_[[#This Row],[LogExpenditure]]-Table_dat150_[[#This Row],[Log Quadratic Trend]]-Table_dat150_[[#This Row],[Cycle]]</f>
        <v>-2.3675328117073135E-2</v>
      </c>
      <c r="R18" s="9">
        <f>AVERAGEIF(Table_dat150_[Quarter], B18, Table_dat150_[High Frequency])</f>
        <v>-4.2281954239907563E-2</v>
      </c>
      <c r="S18" s="9">
        <f>Table_dat150_[[#This Row],[S0]]-AVERAGE($R$6:$R$9)</f>
        <v>-4.2188413571464481E-2</v>
      </c>
      <c r="U18" t="s">
        <v>17</v>
      </c>
      <c r="V18" s="5">
        <v>-9500.9247797740536</v>
      </c>
      <c r="W18">
        <v>185.72315316481391</v>
      </c>
      <c r="X18">
        <v>-51.156383131955387</v>
      </c>
      <c r="Y18">
        <v>1.0165552568623817E-144</v>
      </c>
      <c r="Z18">
        <v>-9866.5044446622396</v>
      </c>
      <c r="AA18">
        <v>-9135.3451148858676</v>
      </c>
      <c r="AB18">
        <v>-9866.5044446622396</v>
      </c>
      <c r="AC18">
        <v>-9135.3451148858676</v>
      </c>
      <c r="AE18" t="s">
        <v>17</v>
      </c>
      <c r="AF18" s="5">
        <v>-5.2022852929957546</v>
      </c>
      <c r="AG18">
        <v>0.21045360012235315</v>
      </c>
      <c r="AH18">
        <v>-24.719393205776758</v>
      </c>
      <c r="AI18">
        <v>1.4786894733923702E-72</v>
      </c>
      <c r="AJ18">
        <v>-5.6165446639798695</v>
      </c>
      <c r="AK18">
        <v>-4.7880259220116397</v>
      </c>
      <c r="AL18">
        <v>-5.6165446639798695</v>
      </c>
      <c r="AM18">
        <v>-4.7880259220116397</v>
      </c>
    </row>
    <row r="19" spans="1:39" ht="15" thickBot="1" x14ac:dyDescent="0.35">
      <c r="A19">
        <v>1954</v>
      </c>
      <c r="B19">
        <v>2</v>
      </c>
      <c r="C19" s="1">
        <f>DATE(Table_dat150_[[#This Row],[Year]],(Table_dat150_[[#This Row],[Quarter]]-1)*3+2,15)</f>
        <v>19859</v>
      </c>
      <c r="D19">
        <f>Table_dat150_[[#This Row],[Year]]+1/8+(Table_dat150_[[#This Row],[Quarter]]-1)/4</f>
        <v>1954.375</v>
      </c>
      <c r="E19">
        <f>Table_dat150_[[#This Row],[DecDate]]^2</f>
        <v>3819581.640625</v>
      </c>
      <c r="F19">
        <v>750</v>
      </c>
      <c r="G19" s="8">
        <f>LN(Table_dat150_[[#This Row],[Expenditure]])</f>
        <v>6.620073206530356</v>
      </c>
      <c r="H19" s="9">
        <f t="shared" si="0"/>
        <v>8.069164265129683E-2</v>
      </c>
      <c r="I19" s="9">
        <f>(1+Table_dat150_[[#This Row],[gt]])^4 -1</f>
        <v>0.36397739144125807</v>
      </c>
      <c r="J19" s="9">
        <f>$V$18+$V$19*Table_dat150_[[#This Row],[DecDate]]</f>
        <v>706.03743408937771</v>
      </c>
      <c r="K19" s="9">
        <f>$V$37+$V$38*Table_dat150_[[#This Row],[DecDate]]+$V$39*Table_dat150_[[#This Row],[DecDate2]]</f>
        <v>717.67910979624139</v>
      </c>
      <c r="L19" s="9">
        <f>$AF$18+$AF$19*Table_dat150_[[#This Row],[DecDate]]</f>
        <v>6.5710944661909414</v>
      </c>
      <c r="M19" s="9">
        <f>$AF$37+$AF$38*Table_dat150_[[#This Row],[DecDate]]+$AF$39*Table_dat150_[[#This Row],[DecDate2]]</f>
        <v>6.5745066833604291</v>
      </c>
      <c r="N19" s="9">
        <f>Table_dat150_[[#This Row],[LogExpenditure]]-Table_dat150_[[#This Row],[Log Quadratic Trend]]</f>
        <v>4.5566523169926931E-2</v>
      </c>
      <c r="O19" s="9">
        <f t="shared" si="1"/>
        <v>-1.7237015290305812E-2</v>
      </c>
      <c r="P19" s="9">
        <f>Table_dat150_[[#This Row],[Log Quadratic Trend]]+Table_dat150_[[#This Row],[Cycle]]</f>
        <v>6.5572696680701235</v>
      </c>
      <c r="Q19" s="9">
        <f>Table_dat150_[[#This Row],[LogExpenditure]]-Table_dat150_[[#This Row],[Log Quadratic Trend]]-Table_dat150_[[#This Row],[Cycle]]</f>
        <v>6.2803538460232747E-2</v>
      </c>
      <c r="R19" s="9">
        <f>AVERAGEIF(Table_dat150_[Quarter], B19, Table_dat150_[High Frequency])</f>
        <v>3.2923068860816217E-2</v>
      </c>
      <c r="S19" s="9">
        <f>Table_dat150_[[#This Row],[S0]]-AVERAGE($R$6:$R$9)</f>
        <v>3.3016609529259298E-2</v>
      </c>
      <c r="U19" s="2" t="s">
        <v>30</v>
      </c>
      <c r="V19" s="6">
        <v>5.2226221753058812</v>
      </c>
      <c r="W19" s="2">
        <v>9.3534756341202382E-2</v>
      </c>
      <c r="X19" s="2">
        <v>55.836165930175177</v>
      </c>
      <c r="Y19" s="2">
        <v>1.7680824077558339E-154</v>
      </c>
      <c r="Z19" s="2">
        <v>5.0385072478133983</v>
      </c>
      <c r="AA19" s="2">
        <v>5.4067371027983642</v>
      </c>
      <c r="AB19" s="2">
        <v>5.0385072478133983</v>
      </c>
      <c r="AC19" s="2">
        <v>5.4067371027983642</v>
      </c>
      <c r="AE19" s="2" t="s">
        <v>30</v>
      </c>
      <c r="AF19" s="6">
        <v>6.0241150031016032E-3</v>
      </c>
      <c r="AG19" s="2">
        <v>1.0598961881238673E-4</v>
      </c>
      <c r="AH19" s="2">
        <v>56.83683997170467</v>
      </c>
      <c r="AI19" s="2">
        <v>1.7740899625780073E-156</v>
      </c>
      <c r="AJ19" s="2">
        <v>5.8154837761017382E-3</v>
      </c>
      <c r="AK19" s="2">
        <v>6.2327462301014682E-3</v>
      </c>
      <c r="AL19" s="2">
        <v>5.8154837761017382E-3</v>
      </c>
      <c r="AM19" s="2">
        <v>6.2327462301014682E-3</v>
      </c>
    </row>
    <row r="20" spans="1:39" x14ac:dyDescent="0.3">
      <c r="A20">
        <v>1954</v>
      </c>
      <c r="B20">
        <v>3</v>
      </c>
      <c r="C20" s="1">
        <f>DATE(Table_dat150_[[#This Row],[Year]],(Table_dat150_[[#This Row],[Quarter]]-1)*3+2,15)</f>
        <v>19951</v>
      </c>
      <c r="D20">
        <f>Table_dat150_[[#This Row],[Year]]+1/8+(Table_dat150_[[#This Row],[Quarter]]-1)/4</f>
        <v>1954.625</v>
      </c>
      <c r="E20">
        <f>Table_dat150_[[#This Row],[DecDate]]^2</f>
        <v>3820558.890625</v>
      </c>
      <c r="F20">
        <v>715</v>
      </c>
      <c r="G20" s="8">
        <f>LN(Table_dat150_[[#This Row],[Expenditure]])</f>
        <v>6.5722825426940075</v>
      </c>
      <c r="H20" s="9">
        <f t="shared" si="0"/>
        <v>-4.6666666666666669E-2</v>
      </c>
      <c r="I20" s="9">
        <f>(1+Table_dat150_[[#This Row],[gt]])^4 -1</f>
        <v>-0.17400177580246912</v>
      </c>
      <c r="J20" s="9">
        <f>$V$18+$V$19*Table_dat150_[[#This Row],[DecDate]]</f>
        <v>707.34308963320473</v>
      </c>
      <c r="K20" s="9">
        <f>$V$37+$V$38*Table_dat150_[[#This Row],[DecDate]]+$V$39*Table_dat150_[[#This Row],[DecDate2]]</f>
        <v>718.65589695240487</v>
      </c>
      <c r="L20" s="9">
        <f>$AF$18+$AF$19*Table_dat150_[[#This Row],[DecDate]]</f>
        <v>6.5726004949417165</v>
      </c>
      <c r="M20" s="9">
        <f>$AF$37+$AF$38*Table_dat150_[[#This Row],[DecDate]]+$AF$39*Table_dat150_[[#This Row],[DecDate2]]</f>
        <v>6.5759163195997523</v>
      </c>
      <c r="N20" s="9">
        <f>Table_dat150_[[#This Row],[LogExpenditure]]-Table_dat150_[[#This Row],[Log Quadratic Trend]]</f>
        <v>-3.6337769057448455E-3</v>
      </c>
      <c r="O20" s="9">
        <f t="shared" si="1"/>
        <v>-1.0037000815927755E-2</v>
      </c>
      <c r="P20" s="9">
        <f>Table_dat150_[[#This Row],[Log Quadratic Trend]]+Table_dat150_[[#This Row],[Cycle]]</f>
        <v>6.5658793187838249</v>
      </c>
      <c r="Q20" s="9">
        <f>Table_dat150_[[#This Row],[LogExpenditure]]-Table_dat150_[[#This Row],[Log Quadratic Trend]]-Table_dat150_[[#This Row],[Cycle]]</f>
        <v>6.4032239101829095E-3</v>
      </c>
      <c r="R20" s="9">
        <f>AVERAGEIF(Table_dat150_[Quarter], B20, Table_dat150_[High Frequency])</f>
        <v>3.7456808917954526E-2</v>
      </c>
      <c r="S20" s="9">
        <f>Table_dat150_[[#This Row],[S0]]-AVERAGE($R$6:$R$9)</f>
        <v>3.7550349586397608E-2</v>
      </c>
    </row>
    <row r="21" spans="1:39" x14ac:dyDescent="0.3">
      <c r="A21">
        <v>1954</v>
      </c>
      <c r="B21">
        <v>4</v>
      </c>
      <c r="C21" s="1">
        <f>DATE(Table_dat150_[[#This Row],[Year]],(Table_dat150_[[#This Row],[Quarter]]-1)*3+2,15)</f>
        <v>20043</v>
      </c>
      <c r="D21">
        <f>Table_dat150_[[#This Row],[Year]]+1/8+(Table_dat150_[[#This Row],[Quarter]]-1)/4</f>
        <v>1954.875</v>
      </c>
      <c r="E21">
        <f>Table_dat150_[[#This Row],[DecDate]]^2</f>
        <v>3821536.265625</v>
      </c>
      <c r="F21">
        <v>683</v>
      </c>
      <c r="G21" s="8">
        <f>LN(Table_dat150_[[#This Row],[Expenditure]])</f>
        <v>6.5264948595707901</v>
      </c>
      <c r="H21" s="9">
        <f t="shared" si="0"/>
        <v>-4.4755244755244755E-2</v>
      </c>
      <c r="I21" s="9">
        <f>(1+Table_dat150_[[#This Row],[gt]])^4 -1</f>
        <v>-0.16735736002311696</v>
      </c>
      <c r="J21" s="9">
        <f>$V$18+$V$19*Table_dat150_[[#This Row],[DecDate]]</f>
        <v>708.64874517703174</v>
      </c>
      <c r="K21" s="9">
        <f>$V$37+$V$38*Table_dat150_[[#This Row],[DecDate]]+$V$39*Table_dat150_[[#This Row],[DecDate2]]</f>
        <v>719.63533627298602</v>
      </c>
      <c r="L21" s="9">
        <f>$AF$18+$AF$19*Table_dat150_[[#This Row],[DecDate]]</f>
        <v>6.5741065236924916</v>
      </c>
      <c r="M21" s="9">
        <f>$AF$37+$AF$38*Table_dat150_[[#This Row],[DecDate]]+$AF$39*Table_dat150_[[#This Row],[DecDate2]]</f>
        <v>6.577326733198035</v>
      </c>
      <c r="N21" s="9">
        <f>Table_dat150_[[#This Row],[LogExpenditure]]-Table_dat150_[[#This Row],[Log Quadratic Trend]]</f>
        <v>-5.0831873627244839E-2</v>
      </c>
      <c r="O21" s="9">
        <f t="shared" si="1"/>
        <v>4.8712390444023866E-3</v>
      </c>
      <c r="P21" s="9">
        <f>Table_dat150_[[#This Row],[Log Quadratic Trend]]+Table_dat150_[[#This Row],[Cycle]]</f>
        <v>6.5821979722424375</v>
      </c>
      <c r="Q21" s="9">
        <f>Table_dat150_[[#This Row],[LogExpenditure]]-Table_dat150_[[#This Row],[Log Quadratic Trend]]-Table_dat150_[[#This Row],[Cycle]]</f>
        <v>-5.5703112671647223E-2</v>
      </c>
      <c r="R21" s="9">
        <f>AVERAGEIF(Table_dat150_[Quarter], B21, Table_dat150_[High Frequency])</f>
        <v>-2.8472086212635514E-2</v>
      </c>
      <c r="S21" s="9">
        <f>Table_dat150_[[#This Row],[S0]]-AVERAGE($R$6:$R$9)</f>
        <v>-2.8378545544192432E-2</v>
      </c>
      <c r="U21" t="s">
        <v>34</v>
      </c>
      <c r="AE21" t="s">
        <v>36</v>
      </c>
    </row>
    <row r="22" spans="1:39" ht="15" thickBot="1" x14ac:dyDescent="0.35">
      <c r="A22">
        <v>1955</v>
      </c>
      <c r="B22">
        <v>1</v>
      </c>
      <c r="C22" s="1">
        <f>DATE(Table_dat150_[[#This Row],[Year]],(Table_dat150_[[#This Row],[Quarter]]-1)*3+2,15)</f>
        <v>20135</v>
      </c>
      <c r="D22">
        <f>Table_dat150_[[#This Row],[Year]]+1/8+(Table_dat150_[[#This Row],[Quarter]]-1)/4</f>
        <v>1955.125</v>
      </c>
      <c r="E22">
        <f>Table_dat150_[[#This Row],[DecDate]]^2</f>
        <v>3822513.765625</v>
      </c>
      <c r="F22">
        <v>712</v>
      </c>
      <c r="G22" s="8">
        <f>LN(Table_dat150_[[#This Row],[Expenditure]])</f>
        <v>6.5680779114119758</v>
      </c>
      <c r="H22" s="9">
        <f t="shared" si="0"/>
        <v>4.24597364568082E-2</v>
      </c>
      <c r="I22" s="9">
        <f>(1+Table_dat150_[[#This Row],[gt]])^4 -1</f>
        <v>0.18096536195454727</v>
      </c>
      <c r="J22" s="9">
        <f>$V$18+$V$19*Table_dat150_[[#This Row],[DecDate]]</f>
        <v>709.95440072085694</v>
      </c>
      <c r="K22" s="9">
        <f>$V$37+$V$38*Table_dat150_[[#This Row],[DecDate]]+$V$39*Table_dat150_[[#This Row],[DecDate2]]</f>
        <v>720.61742775798484</v>
      </c>
      <c r="L22" s="9">
        <f>$AF$18+$AF$19*Table_dat150_[[#This Row],[DecDate]]</f>
        <v>6.5756125524432667</v>
      </c>
      <c r="M22" s="9">
        <f>$AF$37+$AF$38*Table_dat150_[[#This Row],[DecDate]]+$AF$39*Table_dat150_[[#This Row],[DecDate2]]</f>
        <v>6.5787379241552912</v>
      </c>
      <c r="N22" s="9">
        <f>Table_dat150_[[#This Row],[LogExpenditure]]-Table_dat150_[[#This Row],[Log Quadratic Trend]]</f>
        <v>-1.0660012743315406E-2</v>
      </c>
      <c r="O22" s="9">
        <f t="shared" si="1"/>
        <v>3.7265371339081808E-3</v>
      </c>
      <c r="P22" s="9">
        <f>Table_dat150_[[#This Row],[Log Quadratic Trend]]+Table_dat150_[[#This Row],[Cycle]]</f>
        <v>6.5824644612891996</v>
      </c>
      <c r="Q22" s="9">
        <f>Table_dat150_[[#This Row],[LogExpenditure]]-Table_dat150_[[#This Row],[Log Quadratic Trend]]-Table_dat150_[[#This Row],[Cycle]]</f>
        <v>-1.4386549877223587E-2</v>
      </c>
      <c r="R22" s="9">
        <f>AVERAGEIF(Table_dat150_[Quarter], B22, Table_dat150_[High Frequency])</f>
        <v>-4.2281954239907563E-2</v>
      </c>
      <c r="S22" s="9">
        <f>Table_dat150_[[#This Row],[S0]]-AVERAGE($R$6:$R$9)</f>
        <v>-4.2188413571464481E-2</v>
      </c>
    </row>
    <row r="23" spans="1:39" x14ac:dyDescent="0.3">
      <c r="A23">
        <v>1955</v>
      </c>
      <c r="B23">
        <v>2</v>
      </c>
      <c r="C23" s="1">
        <f>DATE(Table_dat150_[[#This Row],[Year]],(Table_dat150_[[#This Row],[Quarter]]-1)*3+2,15)</f>
        <v>20224</v>
      </c>
      <c r="D23">
        <f>Table_dat150_[[#This Row],[Year]]+1/8+(Table_dat150_[[#This Row],[Quarter]]-1)/4</f>
        <v>1955.375</v>
      </c>
      <c r="E23">
        <f>Table_dat150_[[#This Row],[DecDate]]^2</f>
        <v>3823491.390625</v>
      </c>
      <c r="F23">
        <v>753</v>
      </c>
      <c r="G23" s="8">
        <f>LN(Table_dat150_[[#This Row],[Expenditure]])</f>
        <v>6.6240652277998935</v>
      </c>
      <c r="H23" s="9">
        <f t="shared" si="0"/>
        <v>5.758426966292135E-2</v>
      </c>
      <c r="I23" s="9">
        <f>(1+Table_dat150_[[#This Row],[gt]])^4 -1</f>
        <v>0.25100754864046326</v>
      </c>
      <c r="J23" s="9">
        <f>$V$18+$V$19*Table_dat150_[[#This Row],[DecDate]]</f>
        <v>711.26005626468395</v>
      </c>
      <c r="K23" s="9">
        <f>$V$37+$V$38*Table_dat150_[[#This Row],[DecDate]]+$V$39*Table_dat150_[[#This Row],[DecDate2]]</f>
        <v>721.60217140740133</v>
      </c>
      <c r="L23" s="9">
        <f>$AF$18+$AF$19*Table_dat150_[[#This Row],[DecDate]]</f>
        <v>6.5771185811940436</v>
      </c>
      <c r="M23" s="9">
        <f>$AF$37+$AF$38*Table_dat150_[[#This Row],[DecDate]]+$AF$39*Table_dat150_[[#This Row],[DecDate2]]</f>
        <v>6.5801498924715034</v>
      </c>
      <c r="N23" s="9">
        <f>Table_dat150_[[#This Row],[LogExpenditure]]-Table_dat150_[[#This Row],[Log Quadratic Trend]]</f>
        <v>4.3915335328390093E-2</v>
      </c>
      <c r="O23" s="9">
        <f t="shared" si="1"/>
        <v>1.4736425612889904E-3</v>
      </c>
      <c r="P23" s="9">
        <f>Table_dat150_[[#This Row],[Log Quadratic Trend]]+Table_dat150_[[#This Row],[Cycle]]</f>
        <v>6.5816235350327927</v>
      </c>
      <c r="Q23" s="9">
        <f>Table_dat150_[[#This Row],[LogExpenditure]]-Table_dat150_[[#This Row],[Log Quadratic Trend]]-Table_dat150_[[#This Row],[Cycle]]</f>
        <v>4.2441692767101101E-2</v>
      </c>
      <c r="R23" s="9">
        <f>AVERAGEIF(Table_dat150_[Quarter], B23, Table_dat150_[High Frequency])</f>
        <v>3.2923068860816217E-2</v>
      </c>
      <c r="S23" s="9">
        <f>Table_dat150_[[#This Row],[S0]]-AVERAGE($R$6:$R$9)</f>
        <v>3.3016609529259298E-2</v>
      </c>
      <c r="U23" s="4" t="s">
        <v>7</v>
      </c>
      <c r="V23" s="4"/>
      <c r="AE23" s="4" t="s">
        <v>7</v>
      </c>
      <c r="AF23" s="4"/>
    </row>
    <row r="24" spans="1:39" x14ac:dyDescent="0.3">
      <c r="A24">
        <v>1955</v>
      </c>
      <c r="B24">
        <v>3</v>
      </c>
      <c r="C24" s="1">
        <f>DATE(Table_dat150_[[#This Row],[Year]],(Table_dat150_[[#This Row],[Quarter]]-1)*3+2,15)</f>
        <v>20316</v>
      </c>
      <c r="D24">
        <f>Table_dat150_[[#This Row],[Year]]+1/8+(Table_dat150_[[#This Row],[Quarter]]-1)/4</f>
        <v>1955.625</v>
      </c>
      <c r="E24">
        <f>Table_dat150_[[#This Row],[DecDate]]^2</f>
        <v>3824469.140625</v>
      </c>
      <c r="F24">
        <v>751</v>
      </c>
      <c r="G24" s="8">
        <f>LN(Table_dat150_[[#This Row],[Expenditure]])</f>
        <v>6.6214056517641344</v>
      </c>
      <c r="H24" s="9">
        <f t="shared" si="0"/>
        <v>-2.6560424966799467E-3</v>
      </c>
      <c r="I24" s="9">
        <f>(1+Table_dat150_[[#This Row],[gt]])^4 -1</f>
        <v>-1.058191751535098E-2</v>
      </c>
      <c r="J24" s="9">
        <f>$V$18+$V$19*Table_dat150_[[#This Row],[DecDate]]</f>
        <v>712.56571180851097</v>
      </c>
      <c r="K24" s="9">
        <f>$V$37+$V$38*Table_dat150_[[#This Row],[DecDate]]+$V$39*Table_dat150_[[#This Row],[DecDate2]]</f>
        <v>722.58956722123548</v>
      </c>
      <c r="L24" s="9">
        <f>$AF$18+$AF$19*Table_dat150_[[#This Row],[DecDate]]</f>
        <v>6.5786246099448187</v>
      </c>
      <c r="M24" s="9">
        <f>$AF$37+$AF$38*Table_dat150_[[#This Row],[DecDate]]+$AF$39*Table_dat150_[[#This Row],[DecDate2]]</f>
        <v>6.5815626381466785</v>
      </c>
      <c r="N24" s="9">
        <f>Table_dat150_[[#This Row],[LogExpenditure]]-Table_dat150_[[#This Row],[Log Quadratic Trend]]</f>
        <v>3.9843013617455902E-2</v>
      </c>
      <c r="O24" s="9">
        <f t="shared" si="1"/>
        <v>9.3745051712996737E-4</v>
      </c>
      <c r="P24" s="9">
        <f>Table_dat150_[[#This Row],[Log Quadratic Trend]]+Table_dat150_[[#This Row],[Cycle]]</f>
        <v>6.5825000886638083</v>
      </c>
      <c r="Q24" s="9">
        <f>Table_dat150_[[#This Row],[LogExpenditure]]-Table_dat150_[[#This Row],[Log Quadratic Trend]]-Table_dat150_[[#This Row],[Cycle]]</f>
        <v>3.8905563100325932E-2</v>
      </c>
      <c r="R24" s="9">
        <f>AVERAGEIF(Table_dat150_[Quarter], B24, Table_dat150_[High Frequency])</f>
        <v>3.7456808917954526E-2</v>
      </c>
      <c r="S24" s="9">
        <f>Table_dat150_[[#This Row],[S0]]-AVERAGE($R$6:$R$9)</f>
        <v>3.7550349586397608E-2</v>
      </c>
      <c r="U24" t="s">
        <v>8</v>
      </c>
      <c r="V24">
        <v>0.96027977303948808</v>
      </c>
      <c r="AE24" t="s">
        <v>8</v>
      </c>
      <c r="AF24">
        <v>0.95918871794780625</v>
      </c>
    </row>
    <row r="25" spans="1:39" x14ac:dyDescent="0.3">
      <c r="A25">
        <v>1955</v>
      </c>
      <c r="B25">
        <v>4</v>
      </c>
      <c r="C25" s="1">
        <f>DATE(Table_dat150_[[#This Row],[Year]],(Table_dat150_[[#This Row],[Quarter]]-1)*3+2,15)</f>
        <v>20408</v>
      </c>
      <c r="D25">
        <f>Table_dat150_[[#This Row],[Year]]+1/8+(Table_dat150_[[#This Row],[Quarter]]-1)/4</f>
        <v>1955.875</v>
      </c>
      <c r="E25">
        <f>Table_dat150_[[#This Row],[DecDate]]^2</f>
        <v>3825447.015625</v>
      </c>
      <c r="F25">
        <v>712</v>
      </c>
      <c r="G25" s="8">
        <f>LN(Table_dat150_[[#This Row],[Expenditure]])</f>
        <v>6.5680779114119758</v>
      </c>
      <c r="H25" s="9">
        <f t="shared" si="0"/>
        <v>-5.1930758988015982E-2</v>
      </c>
      <c r="I25" s="9">
        <f>(1+Table_dat150_[[#This Row],[gt]])^4 -1</f>
        <v>-0.19209512908525206</v>
      </c>
      <c r="J25" s="9">
        <f>$V$18+$V$19*Table_dat150_[[#This Row],[DecDate]]</f>
        <v>713.87136735233616</v>
      </c>
      <c r="K25" s="9">
        <f>$V$37+$V$38*Table_dat150_[[#This Row],[DecDate]]+$V$39*Table_dat150_[[#This Row],[DecDate2]]</f>
        <v>723.5796151994582</v>
      </c>
      <c r="L25" s="9">
        <f>$AF$18+$AF$19*Table_dat150_[[#This Row],[DecDate]]</f>
        <v>6.5801306386955938</v>
      </c>
      <c r="M25" s="9">
        <f>$AF$37+$AF$38*Table_dat150_[[#This Row],[DecDate]]+$AF$39*Table_dat150_[[#This Row],[DecDate2]]</f>
        <v>6.5829761611808166</v>
      </c>
      <c r="N25" s="9">
        <f>Table_dat150_[[#This Row],[LogExpenditure]]-Table_dat150_[[#This Row],[Log Quadratic Trend]]</f>
        <v>-1.4898249768840799E-2</v>
      </c>
      <c r="O25" s="9">
        <f t="shared" si="1"/>
        <v>7.5084702598118723E-3</v>
      </c>
      <c r="P25" s="9">
        <f>Table_dat150_[[#This Row],[Log Quadratic Trend]]+Table_dat150_[[#This Row],[Cycle]]</f>
        <v>6.5904846314406287</v>
      </c>
      <c r="Q25" s="9">
        <f>Table_dat150_[[#This Row],[LogExpenditure]]-Table_dat150_[[#This Row],[Log Quadratic Trend]]-Table_dat150_[[#This Row],[Cycle]]</f>
        <v>-2.2406720028652672E-2</v>
      </c>
      <c r="R25" s="9">
        <f>AVERAGEIF(Table_dat150_[Quarter], B25, Table_dat150_[High Frequency])</f>
        <v>-2.8472086212635514E-2</v>
      </c>
      <c r="S25" s="9">
        <f>Table_dat150_[[#This Row],[S0]]-AVERAGE($R$6:$R$9)</f>
        <v>-2.8378545544192432E-2</v>
      </c>
      <c r="U25" t="s">
        <v>9</v>
      </c>
      <c r="V25">
        <v>0.92213724250877072</v>
      </c>
      <c r="AE25" t="s">
        <v>9</v>
      </c>
      <c r="AF25">
        <v>0.9200429966383562</v>
      </c>
    </row>
    <row r="26" spans="1:39" x14ac:dyDescent="0.3">
      <c r="A26">
        <v>1956</v>
      </c>
      <c r="B26">
        <v>1</v>
      </c>
      <c r="C26" s="1">
        <f>DATE(Table_dat150_[[#This Row],[Year]],(Table_dat150_[[#This Row],[Quarter]]-1)*3+2,15)</f>
        <v>20500</v>
      </c>
      <c r="D26">
        <f>Table_dat150_[[#This Row],[Year]]+1/8+(Table_dat150_[[#This Row],[Quarter]]-1)/4</f>
        <v>1956.125</v>
      </c>
      <c r="E26">
        <f>Table_dat150_[[#This Row],[DecDate]]^2</f>
        <v>3826425.015625</v>
      </c>
      <c r="F26">
        <v>686</v>
      </c>
      <c r="G26" s="8">
        <f>LN(Table_dat150_[[#This Row],[Expenditure]])</f>
        <v>6.5308776277258849</v>
      </c>
      <c r="H26" s="9">
        <f t="shared" si="0"/>
        <v>-3.6516853932584269E-2</v>
      </c>
      <c r="I26" s="9">
        <f>(1+Table_dat150_[[#This Row],[gt]])^4 -1</f>
        <v>-0.13825953190122353</v>
      </c>
      <c r="J26" s="9">
        <f>$V$18+$V$19*Table_dat150_[[#This Row],[DecDate]]</f>
        <v>715.17702289616318</v>
      </c>
      <c r="K26" s="9">
        <f>$V$37+$V$38*Table_dat150_[[#This Row],[DecDate]]+$V$39*Table_dat150_[[#This Row],[DecDate2]]</f>
        <v>724.57231534212769</v>
      </c>
      <c r="L26" s="9">
        <f>$AF$18+$AF$19*Table_dat150_[[#This Row],[DecDate]]</f>
        <v>6.5816366674463689</v>
      </c>
      <c r="M26" s="9">
        <f>$AF$37+$AF$38*Table_dat150_[[#This Row],[DecDate]]+$AF$39*Table_dat150_[[#This Row],[DecDate2]]</f>
        <v>6.5843904615739248</v>
      </c>
      <c r="N26" s="9">
        <f>Table_dat150_[[#This Row],[LogExpenditure]]-Table_dat150_[[#This Row],[Log Quadratic Trend]]</f>
        <v>-5.3512833848039953E-2</v>
      </c>
      <c r="O26" s="9">
        <f t="shared" si="1"/>
        <v>1.0559227276275784E-2</v>
      </c>
      <c r="P26" s="9">
        <f>Table_dat150_[[#This Row],[Log Quadratic Trend]]+Table_dat150_[[#This Row],[Cycle]]</f>
        <v>6.5949496888502006</v>
      </c>
      <c r="Q26" s="9">
        <f>Table_dat150_[[#This Row],[LogExpenditure]]-Table_dat150_[[#This Row],[Log Quadratic Trend]]-Table_dat150_[[#This Row],[Cycle]]</f>
        <v>-6.4072061124315738E-2</v>
      </c>
      <c r="R26" s="9">
        <f>AVERAGEIF(Table_dat150_[Quarter], B26, Table_dat150_[High Frequency])</f>
        <v>-4.2281954239907563E-2</v>
      </c>
      <c r="S26" s="9">
        <f>Table_dat150_[[#This Row],[S0]]-AVERAGE($R$6:$R$9)</f>
        <v>-4.2188413571464481E-2</v>
      </c>
      <c r="U26" t="s">
        <v>10</v>
      </c>
      <c r="V26">
        <v>0.92158305918143102</v>
      </c>
      <c r="AE26" t="s">
        <v>10</v>
      </c>
      <c r="AF26">
        <v>0.91947390764645842</v>
      </c>
    </row>
    <row r="27" spans="1:39" x14ac:dyDescent="0.3">
      <c r="A27">
        <v>1956</v>
      </c>
      <c r="B27">
        <v>2</v>
      </c>
      <c r="C27" s="1">
        <f>DATE(Table_dat150_[[#This Row],[Year]],(Table_dat150_[[#This Row],[Quarter]]-1)*3+2,15)</f>
        <v>20590</v>
      </c>
      <c r="D27">
        <f>Table_dat150_[[#This Row],[Year]]+1/8+(Table_dat150_[[#This Row],[Quarter]]-1)/4</f>
        <v>1956.375</v>
      </c>
      <c r="E27">
        <f>Table_dat150_[[#This Row],[DecDate]]^2</f>
        <v>3827403.140625</v>
      </c>
      <c r="F27">
        <v>741</v>
      </c>
      <c r="G27" s="8">
        <f>LN(Table_dat150_[[#This Row],[Expenditure]])</f>
        <v>6.6080006252960866</v>
      </c>
      <c r="H27" s="9">
        <f t="shared" si="0"/>
        <v>8.0174927113702624E-2</v>
      </c>
      <c r="I27" s="9">
        <f>(1+Table_dat150_[[#This Row],[gt]])^4 -1</f>
        <v>0.36137060530765752</v>
      </c>
      <c r="J27" s="9">
        <f>$V$18+$V$19*Table_dat150_[[#This Row],[DecDate]]</f>
        <v>716.4826784399902</v>
      </c>
      <c r="K27" s="9">
        <f>$V$37+$V$38*Table_dat150_[[#This Row],[DecDate]]+$V$39*Table_dat150_[[#This Row],[DecDate2]]</f>
        <v>725.56766764921485</v>
      </c>
      <c r="L27" s="9">
        <f>$AF$18+$AF$19*Table_dat150_[[#This Row],[DecDate]]</f>
        <v>6.583142696197144</v>
      </c>
      <c r="M27" s="9">
        <f>$AF$37+$AF$38*Table_dat150_[[#This Row],[DecDate]]+$AF$39*Table_dat150_[[#This Row],[DecDate2]]</f>
        <v>6.5858055393259924</v>
      </c>
      <c r="N27" s="9">
        <f>Table_dat150_[[#This Row],[LogExpenditure]]-Table_dat150_[[#This Row],[Log Quadratic Trend]]</f>
        <v>2.2195085970094119E-2</v>
      </c>
      <c r="O27" s="9">
        <f t="shared" si="1"/>
        <v>-4.0094743649028431E-4</v>
      </c>
      <c r="P27" s="9">
        <f>Table_dat150_[[#This Row],[Log Quadratic Trend]]+Table_dat150_[[#This Row],[Cycle]]</f>
        <v>6.5854045918895023</v>
      </c>
      <c r="Q27" s="9">
        <f>Table_dat150_[[#This Row],[LogExpenditure]]-Table_dat150_[[#This Row],[Log Quadratic Trend]]-Table_dat150_[[#This Row],[Cycle]]</f>
        <v>2.2596033406584403E-2</v>
      </c>
      <c r="R27" s="9">
        <f>AVERAGEIF(Table_dat150_[Quarter], B27, Table_dat150_[High Frequency])</f>
        <v>3.2923068860816217E-2</v>
      </c>
      <c r="S27" s="9">
        <f>Table_dat150_[[#This Row],[S0]]-AVERAGE($R$6:$R$9)</f>
        <v>3.3016609529259298E-2</v>
      </c>
      <c r="U27" t="s">
        <v>11</v>
      </c>
      <c r="V27">
        <v>31.356516431488949</v>
      </c>
      <c r="AE27" t="s">
        <v>11</v>
      </c>
      <c r="AF27">
        <v>3.6598749211686189E-2</v>
      </c>
    </row>
    <row r="28" spans="1:39" ht="15" thickBot="1" x14ac:dyDescent="0.35">
      <c r="A28">
        <v>1956</v>
      </c>
      <c r="B28">
        <v>3</v>
      </c>
      <c r="C28" s="1">
        <f>DATE(Table_dat150_[[#This Row],[Year]],(Table_dat150_[[#This Row],[Quarter]]-1)*3+2,15)</f>
        <v>20682</v>
      </c>
      <c r="D28">
        <f>Table_dat150_[[#This Row],[Year]]+1/8+(Table_dat150_[[#This Row],[Quarter]]-1)/4</f>
        <v>1956.625</v>
      </c>
      <c r="E28">
        <f>Table_dat150_[[#This Row],[DecDate]]^2</f>
        <v>3828381.390625</v>
      </c>
      <c r="F28">
        <v>770</v>
      </c>
      <c r="G28" s="8">
        <f>LN(Table_dat150_[[#This Row],[Expenditure]])</f>
        <v>6.6463905148477291</v>
      </c>
      <c r="H28" s="9">
        <f t="shared" si="0"/>
        <v>3.9136302294197033E-2</v>
      </c>
      <c r="I28" s="9">
        <f>(1+Table_dat150_[[#This Row],[gt]])^4 -1</f>
        <v>0.16597722856682373</v>
      </c>
      <c r="J28" s="9">
        <f>$V$18+$V$19*Table_dat150_[[#This Row],[DecDate]]</f>
        <v>717.78833398381539</v>
      </c>
      <c r="K28" s="9">
        <f>$V$37+$V$38*Table_dat150_[[#This Row],[DecDate]]+$V$39*Table_dat150_[[#This Row],[DecDate2]]</f>
        <v>726.56567212070513</v>
      </c>
      <c r="L28" s="9">
        <f>$AF$18+$AF$19*Table_dat150_[[#This Row],[DecDate]]</f>
        <v>6.5846487249479191</v>
      </c>
      <c r="M28" s="9">
        <f>$AF$37+$AF$38*Table_dat150_[[#This Row],[DecDate]]+$AF$39*Table_dat150_[[#This Row],[DecDate2]]</f>
        <v>6.5872213944370195</v>
      </c>
      <c r="N28" s="9">
        <f>Table_dat150_[[#This Row],[LogExpenditure]]-Table_dat150_[[#This Row],[Log Quadratic Trend]]</f>
        <v>5.9169120410709652E-2</v>
      </c>
      <c r="O28" s="9">
        <f t="shared" si="1"/>
        <v>-7.5151937063829164E-3</v>
      </c>
      <c r="P28" s="9">
        <f>Table_dat150_[[#This Row],[Log Quadratic Trend]]+Table_dat150_[[#This Row],[Cycle]]</f>
        <v>6.5797062007306364</v>
      </c>
      <c r="Q28" s="9">
        <f>Table_dat150_[[#This Row],[LogExpenditure]]-Table_dat150_[[#This Row],[Log Quadratic Trend]]-Table_dat150_[[#This Row],[Cycle]]</f>
        <v>6.6684314117092566E-2</v>
      </c>
      <c r="R28" s="9">
        <f>AVERAGEIF(Table_dat150_[Quarter], B28, Table_dat150_[High Frequency])</f>
        <v>3.7456808917954526E-2</v>
      </c>
      <c r="S28" s="9">
        <f>Table_dat150_[[#This Row],[S0]]-AVERAGE($R$6:$R$9)</f>
        <v>3.7550349586397608E-2</v>
      </c>
      <c r="U28" s="2" t="s">
        <v>12</v>
      </c>
      <c r="V28" s="2">
        <v>284</v>
      </c>
      <c r="AE28" s="2" t="s">
        <v>12</v>
      </c>
      <c r="AF28" s="2">
        <v>284</v>
      </c>
    </row>
    <row r="29" spans="1:39" x14ac:dyDescent="0.3">
      <c r="A29">
        <v>1956</v>
      </c>
      <c r="B29">
        <v>4</v>
      </c>
      <c r="C29" s="1">
        <f>DATE(Table_dat150_[[#This Row],[Year]],(Table_dat150_[[#This Row],[Quarter]]-1)*3+2,15)</f>
        <v>20774</v>
      </c>
      <c r="D29">
        <f>Table_dat150_[[#This Row],[Year]]+1/8+(Table_dat150_[[#This Row],[Quarter]]-1)/4</f>
        <v>1956.875</v>
      </c>
      <c r="E29">
        <f>Table_dat150_[[#This Row],[DecDate]]^2</f>
        <v>3829359.765625</v>
      </c>
      <c r="F29">
        <v>716</v>
      </c>
      <c r="G29" s="8">
        <f>LN(Table_dat150_[[#This Row],[Expenditure]])</f>
        <v>6.5736801669606457</v>
      </c>
      <c r="H29" s="9">
        <f t="shared" si="0"/>
        <v>-7.0129870129870125E-2</v>
      </c>
      <c r="I29" s="9">
        <f>(1+Table_dat150_[[#This Row],[gt]])^4 -1</f>
        <v>-0.25236575027463493</v>
      </c>
      <c r="J29" s="9">
        <f>$V$18+$V$19*Table_dat150_[[#This Row],[DecDate]]</f>
        <v>719.09398952764241</v>
      </c>
      <c r="K29" s="9">
        <f>$V$37+$V$38*Table_dat150_[[#This Row],[DecDate]]+$V$39*Table_dat150_[[#This Row],[DecDate2]]</f>
        <v>727.56632875662763</v>
      </c>
      <c r="L29" s="9">
        <f>$AF$18+$AF$19*Table_dat150_[[#This Row],[DecDate]]</f>
        <v>6.586154753698696</v>
      </c>
      <c r="M29" s="9">
        <f>$AF$37+$AF$38*Table_dat150_[[#This Row],[DecDate]]+$AF$39*Table_dat150_[[#This Row],[DecDate2]]</f>
        <v>6.5886380269070202</v>
      </c>
      <c r="N29" s="9">
        <f>Table_dat150_[[#This Row],[LogExpenditure]]-Table_dat150_[[#This Row],[Log Quadratic Trend]]</f>
        <v>-1.4957859946374441E-2</v>
      </c>
      <c r="O29" s="9">
        <f t="shared" si="1"/>
        <v>1.0765298965936232E-2</v>
      </c>
      <c r="P29" s="9">
        <f>Table_dat150_[[#This Row],[Log Quadratic Trend]]+Table_dat150_[[#This Row],[Cycle]]</f>
        <v>6.5994033258729567</v>
      </c>
      <c r="Q29" s="9">
        <f>Table_dat150_[[#This Row],[LogExpenditure]]-Table_dat150_[[#This Row],[Log Quadratic Trend]]-Table_dat150_[[#This Row],[Cycle]]</f>
        <v>-2.5723158912310674E-2</v>
      </c>
      <c r="R29" s="9">
        <f>AVERAGEIF(Table_dat150_[Quarter], B29, Table_dat150_[High Frequency])</f>
        <v>-2.8472086212635514E-2</v>
      </c>
      <c r="S29" s="9">
        <f>Table_dat150_[[#This Row],[S0]]-AVERAGE($R$6:$R$9)</f>
        <v>-2.8378545544192432E-2</v>
      </c>
    </row>
    <row r="30" spans="1:39" ht="15" thickBot="1" x14ac:dyDescent="0.35">
      <c r="A30">
        <v>1957</v>
      </c>
      <c r="B30">
        <v>1</v>
      </c>
      <c r="C30" s="1">
        <f>DATE(Table_dat150_[[#This Row],[Year]],(Table_dat150_[[#This Row],[Quarter]]-1)*3+2,15)</f>
        <v>20866</v>
      </c>
      <c r="D30">
        <f>Table_dat150_[[#This Row],[Year]]+1/8+(Table_dat150_[[#This Row],[Quarter]]-1)/4</f>
        <v>1957.125</v>
      </c>
      <c r="E30">
        <f>Table_dat150_[[#This Row],[DecDate]]^2</f>
        <v>3830338.265625</v>
      </c>
      <c r="F30">
        <v>692</v>
      </c>
      <c r="G30" s="8">
        <f>LN(Table_dat150_[[#This Row],[Expenditure]])</f>
        <v>6.5395859556176692</v>
      </c>
      <c r="H30" s="9">
        <f t="shared" si="0"/>
        <v>-3.3519553072625698E-2</v>
      </c>
      <c r="I30" s="9">
        <f>(1+Table_dat150_[[#This Row],[gt]])^4 -1</f>
        <v>-0.1274862322482655</v>
      </c>
      <c r="J30" s="9">
        <f>$V$18+$V$19*Table_dat150_[[#This Row],[DecDate]]</f>
        <v>720.39964507146942</v>
      </c>
      <c r="K30" s="9">
        <f>$V$37+$V$38*Table_dat150_[[#This Row],[DecDate]]+$V$39*Table_dat150_[[#This Row],[DecDate2]]</f>
        <v>728.56963755696779</v>
      </c>
      <c r="L30" s="9">
        <f>$AF$18+$AF$19*Table_dat150_[[#This Row],[DecDate]]</f>
        <v>6.5876607824494711</v>
      </c>
      <c r="M30" s="9">
        <f>$AF$37+$AF$38*Table_dat150_[[#This Row],[DecDate]]+$AF$39*Table_dat150_[[#This Row],[DecDate2]]</f>
        <v>6.5900554367359732</v>
      </c>
      <c r="N30" s="9">
        <f>Table_dat150_[[#This Row],[LogExpenditure]]-Table_dat150_[[#This Row],[Log Quadratic Trend]]</f>
        <v>-5.046948111830396E-2</v>
      </c>
      <c r="O30" s="9">
        <f t="shared" si="1"/>
        <v>2.0374303275921511E-2</v>
      </c>
      <c r="P30" s="9">
        <f>Table_dat150_[[#This Row],[Log Quadratic Trend]]+Table_dat150_[[#This Row],[Cycle]]</f>
        <v>6.6104297400118943</v>
      </c>
      <c r="Q30" s="9">
        <f>Table_dat150_[[#This Row],[LogExpenditure]]-Table_dat150_[[#This Row],[Log Quadratic Trend]]-Table_dat150_[[#This Row],[Cycle]]</f>
        <v>-7.0843784394225479E-2</v>
      </c>
      <c r="R30" s="9">
        <f>AVERAGEIF(Table_dat150_[Quarter], B30, Table_dat150_[High Frequency])</f>
        <v>-4.2281954239907563E-2</v>
      </c>
      <c r="S30" s="9">
        <f>Table_dat150_[[#This Row],[S0]]-AVERAGE($R$6:$R$9)</f>
        <v>-4.2188413571464481E-2</v>
      </c>
      <c r="U30" t="s">
        <v>13</v>
      </c>
      <c r="AE30" t="s">
        <v>13</v>
      </c>
    </row>
    <row r="31" spans="1:39" x14ac:dyDescent="0.3">
      <c r="A31">
        <v>1957</v>
      </c>
      <c r="B31">
        <v>2</v>
      </c>
      <c r="C31" s="1">
        <f>DATE(Table_dat150_[[#This Row],[Year]],(Table_dat150_[[#This Row],[Quarter]]-1)*3+2,15)</f>
        <v>20955</v>
      </c>
      <c r="D31">
        <f>Table_dat150_[[#This Row],[Year]]+1/8+(Table_dat150_[[#This Row],[Quarter]]-1)/4</f>
        <v>1957.375</v>
      </c>
      <c r="E31">
        <f>Table_dat150_[[#This Row],[DecDate]]^2</f>
        <v>3831316.890625</v>
      </c>
      <c r="F31">
        <v>757</v>
      </c>
      <c r="G31" s="8">
        <f>LN(Table_dat150_[[#This Row],[Expenditure]])</f>
        <v>6.6293632534374485</v>
      </c>
      <c r="H31" s="9">
        <f t="shared" si="0"/>
        <v>9.3930635838150284E-2</v>
      </c>
      <c r="I31" s="9">
        <f>(1+Table_dat150_[[#This Row],[gt]])^4 -1</f>
        <v>0.43205316075135936</v>
      </c>
      <c r="J31" s="9">
        <f>$V$18+$V$19*Table_dat150_[[#This Row],[DecDate]]</f>
        <v>721.70530061529644</v>
      </c>
      <c r="K31" s="9">
        <f>$V$37+$V$38*Table_dat150_[[#This Row],[DecDate]]+$V$39*Table_dat150_[[#This Row],[DecDate2]]</f>
        <v>729.57559852168197</v>
      </c>
      <c r="L31" s="9">
        <f>$AF$18+$AF$19*Table_dat150_[[#This Row],[DecDate]]</f>
        <v>6.5891668112002462</v>
      </c>
      <c r="M31" s="9">
        <f>$AF$37+$AF$38*Table_dat150_[[#This Row],[DecDate]]+$AF$39*Table_dat150_[[#This Row],[DecDate2]]</f>
        <v>6.5914736239238927</v>
      </c>
      <c r="N31" s="9">
        <f>Table_dat150_[[#This Row],[LogExpenditure]]-Table_dat150_[[#This Row],[Log Quadratic Trend]]</f>
        <v>3.7889629513555789E-2</v>
      </c>
      <c r="O31" s="9">
        <f t="shared" si="1"/>
        <v>5.2502846626641285E-3</v>
      </c>
      <c r="P31" s="9">
        <f>Table_dat150_[[#This Row],[Log Quadratic Trend]]+Table_dat150_[[#This Row],[Cycle]]</f>
        <v>6.596723908586557</v>
      </c>
      <c r="Q31" s="9">
        <f>Table_dat150_[[#This Row],[LogExpenditure]]-Table_dat150_[[#This Row],[Log Quadratic Trend]]-Table_dat150_[[#This Row],[Cycle]]</f>
        <v>3.2639344850891663E-2</v>
      </c>
      <c r="R31" s="9">
        <f>AVERAGEIF(Table_dat150_[Quarter], B31, Table_dat150_[High Frequency])</f>
        <v>3.2923068860816217E-2</v>
      </c>
      <c r="S31" s="9">
        <f>Table_dat150_[[#This Row],[S0]]-AVERAGE($R$6:$R$9)</f>
        <v>3.3016609529259298E-2</v>
      </c>
      <c r="U31" s="3"/>
      <c r="V31" s="3" t="s">
        <v>18</v>
      </c>
      <c r="W31" s="3" t="s">
        <v>19</v>
      </c>
      <c r="X31" s="3" t="s">
        <v>20</v>
      </c>
      <c r="Y31" s="3" t="s">
        <v>21</v>
      </c>
      <c r="Z31" s="3" t="s">
        <v>22</v>
      </c>
      <c r="AE31" s="3"/>
      <c r="AF31" s="3" t="s">
        <v>18</v>
      </c>
      <c r="AG31" s="3" t="s">
        <v>19</v>
      </c>
      <c r="AH31" s="3" t="s">
        <v>20</v>
      </c>
      <c r="AI31" s="3" t="s">
        <v>21</v>
      </c>
      <c r="AJ31" s="3" t="s">
        <v>22</v>
      </c>
    </row>
    <row r="32" spans="1:39" x14ac:dyDescent="0.3">
      <c r="A32">
        <v>1957</v>
      </c>
      <c r="B32">
        <v>3</v>
      </c>
      <c r="C32" s="1">
        <f>DATE(Table_dat150_[[#This Row],[Year]],(Table_dat150_[[#This Row],[Quarter]]-1)*3+2,15)</f>
        <v>21047</v>
      </c>
      <c r="D32">
        <f>Table_dat150_[[#This Row],[Year]]+1/8+(Table_dat150_[[#This Row],[Quarter]]-1)/4</f>
        <v>1957.625</v>
      </c>
      <c r="E32">
        <f>Table_dat150_[[#This Row],[DecDate]]^2</f>
        <v>3832295.640625</v>
      </c>
      <c r="F32">
        <v>783</v>
      </c>
      <c r="G32" s="8">
        <f>LN(Table_dat150_[[#This Row],[Expenditure]])</f>
        <v>6.6631326959908028</v>
      </c>
      <c r="H32" s="9">
        <f t="shared" si="0"/>
        <v>3.4346103038309116E-2</v>
      </c>
      <c r="I32" s="9">
        <f>(1+Table_dat150_[[#This Row],[gt]])^4 -1</f>
        <v>0.14462579868258496</v>
      </c>
      <c r="J32" s="9">
        <f>$V$18+$V$19*Table_dat150_[[#This Row],[DecDate]]</f>
        <v>723.01095615912163</v>
      </c>
      <c r="K32" s="9">
        <f>$V$37+$V$38*Table_dat150_[[#This Row],[DecDate]]+$V$39*Table_dat150_[[#This Row],[DecDate2]]</f>
        <v>730.58421165084292</v>
      </c>
      <c r="L32" s="9">
        <f>$AF$18+$AF$19*Table_dat150_[[#This Row],[DecDate]]</f>
        <v>6.5906728399510213</v>
      </c>
      <c r="M32" s="9">
        <f>$AF$37+$AF$38*Table_dat150_[[#This Row],[DecDate]]+$AF$39*Table_dat150_[[#This Row],[DecDate2]]</f>
        <v>6.5928925884707823</v>
      </c>
      <c r="N32" s="9">
        <f>Table_dat150_[[#This Row],[LogExpenditure]]-Table_dat150_[[#This Row],[Log Quadratic Trend]]</f>
        <v>7.0240107520020523E-2</v>
      </c>
      <c r="O32" s="9">
        <f t="shared" si="1"/>
        <v>-6.4861536423171271E-3</v>
      </c>
      <c r="P32" s="9">
        <f>Table_dat150_[[#This Row],[Log Quadratic Trend]]+Table_dat150_[[#This Row],[Cycle]]</f>
        <v>6.586406434828465</v>
      </c>
      <c r="Q32" s="9">
        <f>Table_dat150_[[#This Row],[LogExpenditure]]-Table_dat150_[[#This Row],[Log Quadratic Trend]]-Table_dat150_[[#This Row],[Cycle]]</f>
        <v>7.6726261162337647E-2</v>
      </c>
      <c r="R32" s="9">
        <f>AVERAGEIF(Table_dat150_[Quarter], B32, Table_dat150_[High Frequency])</f>
        <v>3.7456808917954526E-2</v>
      </c>
      <c r="S32" s="9">
        <f>Table_dat150_[[#This Row],[S0]]-AVERAGE($R$6:$R$9)</f>
        <v>3.7550349586397608E-2</v>
      </c>
      <c r="U32" t="s">
        <v>14</v>
      </c>
      <c r="V32">
        <v>2</v>
      </c>
      <c r="W32">
        <v>3272108.6742344843</v>
      </c>
      <c r="X32">
        <v>1636054.3371172422</v>
      </c>
      <c r="Y32">
        <v>1663.957028327392</v>
      </c>
      <c r="Z32">
        <v>1.7054308030574975E-156</v>
      </c>
      <c r="AE32" t="s">
        <v>14</v>
      </c>
      <c r="AF32">
        <v>2</v>
      </c>
      <c r="AG32">
        <v>4.3310223129835208</v>
      </c>
      <c r="AH32">
        <v>2.1655111564917604</v>
      </c>
      <c r="AI32">
        <v>1616.6944181614917</v>
      </c>
      <c r="AJ32">
        <v>7.1013275318716333E-155</v>
      </c>
    </row>
    <row r="33" spans="1:39" x14ac:dyDescent="0.3">
      <c r="A33">
        <v>1957</v>
      </c>
      <c r="B33">
        <v>4</v>
      </c>
      <c r="C33" s="1">
        <f>DATE(Table_dat150_[[#This Row],[Year]],(Table_dat150_[[#This Row],[Quarter]]-1)*3+2,15)</f>
        <v>21139</v>
      </c>
      <c r="D33">
        <f>Table_dat150_[[#This Row],[Year]]+1/8+(Table_dat150_[[#This Row],[Quarter]]-1)/4</f>
        <v>1957.875</v>
      </c>
      <c r="E33">
        <f>Table_dat150_[[#This Row],[DecDate]]^2</f>
        <v>3833274.515625</v>
      </c>
      <c r="F33">
        <v>719</v>
      </c>
      <c r="G33" s="8">
        <f>LN(Table_dat150_[[#This Row],[Expenditure]])</f>
        <v>6.577861357721047</v>
      </c>
      <c r="H33" s="9">
        <f t="shared" si="0"/>
        <v>-8.1736909323116225E-2</v>
      </c>
      <c r="I33" s="9">
        <f>(1+Table_dat150_[[#This Row],[gt]])^4 -1</f>
        <v>-0.28900178027076318</v>
      </c>
      <c r="J33" s="9">
        <f>$V$18+$V$19*Table_dat150_[[#This Row],[DecDate]]</f>
        <v>724.31661170294865</v>
      </c>
      <c r="K33" s="9">
        <f>$V$37+$V$38*Table_dat150_[[#This Row],[DecDate]]+$V$39*Table_dat150_[[#This Row],[DecDate2]]</f>
        <v>731.59547694443609</v>
      </c>
      <c r="L33" s="9">
        <f>$AF$18+$AF$19*Table_dat150_[[#This Row],[DecDate]]</f>
        <v>6.5921788687017964</v>
      </c>
      <c r="M33" s="9">
        <f>$AF$37+$AF$38*Table_dat150_[[#This Row],[DecDate]]+$AF$39*Table_dat150_[[#This Row],[DecDate2]]</f>
        <v>6.5943123303766242</v>
      </c>
      <c r="N33" s="9">
        <f>Table_dat150_[[#This Row],[LogExpenditure]]-Table_dat150_[[#This Row],[Log Quadratic Trend]]</f>
        <v>-1.6450972655577267E-2</v>
      </c>
      <c r="O33" s="9">
        <f t="shared" si="1"/>
        <v>1.3455016297847244E-2</v>
      </c>
      <c r="P33" s="9">
        <f>Table_dat150_[[#This Row],[Log Quadratic Trend]]+Table_dat150_[[#This Row],[Cycle]]</f>
        <v>6.6077673466744713</v>
      </c>
      <c r="Q33" s="9">
        <f>Table_dat150_[[#This Row],[LogExpenditure]]-Table_dat150_[[#This Row],[Log Quadratic Trend]]-Table_dat150_[[#This Row],[Cycle]]</f>
        <v>-2.9905988953424511E-2</v>
      </c>
      <c r="R33" s="9">
        <f>AVERAGEIF(Table_dat150_[Quarter], B33, Table_dat150_[High Frequency])</f>
        <v>-2.8472086212635514E-2</v>
      </c>
      <c r="S33" s="9">
        <f>Table_dat150_[[#This Row],[S0]]-AVERAGE($R$6:$R$9)</f>
        <v>-2.8378545544192432E-2</v>
      </c>
      <c r="U33" t="s">
        <v>15</v>
      </c>
      <c r="V33">
        <v>281</v>
      </c>
      <c r="W33">
        <v>276287.94548382447</v>
      </c>
      <c r="X33">
        <v>983.23112271823652</v>
      </c>
      <c r="AE33" t="s">
        <v>15</v>
      </c>
      <c r="AF33">
        <v>281</v>
      </c>
      <c r="AG33">
        <v>0.37639063272463202</v>
      </c>
      <c r="AH33">
        <v>1.3394684438599003E-3</v>
      </c>
    </row>
    <row r="34" spans="1:39" ht="15" thickBot="1" x14ac:dyDescent="0.35">
      <c r="A34">
        <v>1958</v>
      </c>
      <c r="B34">
        <v>1</v>
      </c>
      <c r="C34" s="1">
        <f>DATE(Table_dat150_[[#This Row],[Year]],(Table_dat150_[[#This Row],[Quarter]]-1)*3+2,15)</f>
        <v>21231</v>
      </c>
      <c r="D34">
        <f>Table_dat150_[[#This Row],[Year]]+1/8+(Table_dat150_[[#This Row],[Quarter]]-1)/4</f>
        <v>1958.125</v>
      </c>
      <c r="E34">
        <f>Table_dat150_[[#This Row],[DecDate]]^2</f>
        <v>3834253.515625</v>
      </c>
      <c r="F34">
        <v>680</v>
      </c>
      <c r="G34" s="8">
        <f>LN(Table_dat150_[[#This Row],[Expenditure]])</f>
        <v>6.522092798170152</v>
      </c>
      <c r="H34" s="9">
        <f t="shared" si="0"/>
        <v>-5.4242002781641166E-2</v>
      </c>
      <c r="I34" s="9">
        <f>(1+Table_dat150_[[#This Row],[gt]])^4 -1</f>
        <v>-0.19994454758972668</v>
      </c>
      <c r="J34" s="9">
        <f>$V$18+$V$19*Table_dat150_[[#This Row],[DecDate]]</f>
        <v>725.62226724677566</v>
      </c>
      <c r="K34" s="9">
        <f>$V$37+$V$38*Table_dat150_[[#This Row],[DecDate]]+$V$39*Table_dat150_[[#This Row],[DecDate2]]</f>
        <v>732.60939440243237</v>
      </c>
      <c r="L34" s="9">
        <f>$AF$18+$AF$19*Table_dat150_[[#This Row],[DecDate]]</f>
        <v>6.5936848974525715</v>
      </c>
      <c r="M34" s="9">
        <f>$AF$37+$AF$38*Table_dat150_[[#This Row],[DecDate]]+$AF$39*Table_dat150_[[#This Row],[DecDate2]]</f>
        <v>6.5957328496414327</v>
      </c>
      <c r="N34" s="9">
        <f>Table_dat150_[[#This Row],[LogExpenditure]]-Table_dat150_[[#This Row],[Log Quadratic Trend]]</f>
        <v>-7.3640051471280721E-2</v>
      </c>
      <c r="O34" s="9">
        <f t="shared" si="1"/>
        <v>1.2562201824672315E-2</v>
      </c>
      <c r="P34" s="9">
        <f>Table_dat150_[[#This Row],[Log Quadratic Trend]]+Table_dat150_[[#This Row],[Cycle]]</f>
        <v>6.6082950514661052</v>
      </c>
      <c r="Q34" s="9">
        <f>Table_dat150_[[#This Row],[LogExpenditure]]-Table_dat150_[[#This Row],[Log Quadratic Trend]]-Table_dat150_[[#This Row],[Cycle]]</f>
        <v>-8.6202253295953032E-2</v>
      </c>
      <c r="R34" s="9">
        <f>AVERAGEIF(Table_dat150_[Quarter], B34, Table_dat150_[High Frequency])</f>
        <v>-4.2281954239907563E-2</v>
      </c>
      <c r="S34" s="9">
        <f>Table_dat150_[[#This Row],[S0]]-AVERAGE($R$6:$R$9)</f>
        <v>-4.2188413571464481E-2</v>
      </c>
      <c r="U34" s="2" t="s">
        <v>16</v>
      </c>
      <c r="V34" s="2">
        <v>283</v>
      </c>
      <c r="W34" s="2">
        <v>3548396.6197183086</v>
      </c>
      <c r="X34" s="2"/>
      <c r="Y34" s="2"/>
      <c r="Z34" s="2"/>
      <c r="AE34" s="2" t="s">
        <v>16</v>
      </c>
      <c r="AF34" s="2">
        <v>283</v>
      </c>
      <c r="AG34" s="2">
        <v>4.7074129457081533</v>
      </c>
      <c r="AH34" s="2"/>
      <c r="AI34" s="2"/>
      <c r="AJ34" s="2"/>
    </row>
    <row r="35" spans="1:39" ht="15" thickBot="1" x14ac:dyDescent="0.35">
      <c r="A35">
        <v>1958</v>
      </c>
      <c r="B35">
        <v>2</v>
      </c>
      <c r="C35" s="1">
        <f>DATE(Table_dat150_[[#This Row],[Year]],(Table_dat150_[[#This Row],[Quarter]]-1)*3+2,15)</f>
        <v>21320</v>
      </c>
      <c r="D35">
        <f>Table_dat150_[[#This Row],[Year]]+1/8+(Table_dat150_[[#This Row],[Quarter]]-1)/4</f>
        <v>1958.375</v>
      </c>
      <c r="E35">
        <f>Table_dat150_[[#This Row],[DecDate]]^2</f>
        <v>3835232.640625</v>
      </c>
      <c r="F35">
        <v>770</v>
      </c>
      <c r="G35" s="8">
        <f>LN(Table_dat150_[[#This Row],[Expenditure]])</f>
        <v>6.6463905148477291</v>
      </c>
      <c r="H35" s="9">
        <f t="shared" si="0"/>
        <v>0.13235294117647059</v>
      </c>
      <c r="I35" s="9">
        <f>(1+Table_dat150_[[#This Row],[gt]])^4 -1</f>
        <v>0.64409629202535879</v>
      </c>
      <c r="J35" s="9">
        <f>$V$18+$V$19*Table_dat150_[[#This Row],[DecDate]]</f>
        <v>726.92792279060086</v>
      </c>
      <c r="K35" s="9">
        <f>$V$37+$V$38*Table_dat150_[[#This Row],[DecDate]]+$V$39*Table_dat150_[[#This Row],[DecDate2]]</f>
        <v>733.62596402484633</v>
      </c>
      <c r="L35" s="9">
        <f>$AF$18+$AF$19*Table_dat150_[[#This Row],[DecDate]]</f>
        <v>6.5951909262033483</v>
      </c>
      <c r="M35" s="9">
        <f>$AF$37+$AF$38*Table_dat150_[[#This Row],[DecDate]]+$AF$39*Table_dat150_[[#This Row],[DecDate2]]</f>
        <v>6.5971541462652112</v>
      </c>
      <c r="N35" s="9">
        <f>Table_dat150_[[#This Row],[LogExpenditure]]-Table_dat150_[[#This Row],[Log Quadratic Trend]]</f>
        <v>4.9236368582517898E-2</v>
      </c>
      <c r="O35" s="9">
        <f t="shared" si="1"/>
        <v>-1.5115341546938054E-3</v>
      </c>
      <c r="P35" s="9">
        <f>Table_dat150_[[#This Row],[Log Quadratic Trend]]+Table_dat150_[[#This Row],[Cycle]]</f>
        <v>6.5956426121105176</v>
      </c>
      <c r="Q35" s="9">
        <f>Table_dat150_[[#This Row],[LogExpenditure]]-Table_dat150_[[#This Row],[Log Quadratic Trend]]-Table_dat150_[[#This Row],[Cycle]]</f>
        <v>5.0747902737211706E-2</v>
      </c>
      <c r="R35" s="9">
        <f>AVERAGEIF(Table_dat150_[Quarter], B35, Table_dat150_[High Frequency])</f>
        <v>3.2923068860816217E-2</v>
      </c>
      <c r="S35" s="9">
        <f>Table_dat150_[[#This Row],[S0]]-AVERAGE($R$6:$R$9)</f>
        <v>3.3016609529259298E-2</v>
      </c>
    </row>
    <row r="36" spans="1:39" x14ac:dyDescent="0.3">
      <c r="A36">
        <v>1958</v>
      </c>
      <c r="B36">
        <v>3</v>
      </c>
      <c r="C36" s="1">
        <f>DATE(Table_dat150_[[#This Row],[Year]],(Table_dat150_[[#This Row],[Quarter]]-1)*3+2,15)</f>
        <v>21412</v>
      </c>
      <c r="D36">
        <f>Table_dat150_[[#This Row],[Year]]+1/8+(Table_dat150_[[#This Row],[Quarter]]-1)/4</f>
        <v>1958.625</v>
      </c>
      <c r="E36">
        <f>Table_dat150_[[#This Row],[DecDate]]^2</f>
        <v>3836211.890625</v>
      </c>
      <c r="F36">
        <v>759</v>
      </c>
      <c r="G36" s="8">
        <f>LN(Table_dat150_[[#This Row],[Expenditure]])</f>
        <v>6.6320017773956303</v>
      </c>
      <c r="H36" s="9">
        <f t="shared" si="0"/>
        <v>-1.4285714285714285E-2</v>
      </c>
      <c r="I36" s="9">
        <f>(1+Table_dat150_[[#This Row],[gt]])^4 -1</f>
        <v>-5.5929987505205947E-2</v>
      </c>
      <c r="J36" s="9">
        <f>$V$18+$V$19*Table_dat150_[[#This Row],[DecDate]]</f>
        <v>728.23357833442788</v>
      </c>
      <c r="K36" s="9">
        <f>$V$37+$V$38*Table_dat150_[[#This Row],[DecDate]]+$V$39*Table_dat150_[[#This Row],[DecDate2]]</f>
        <v>734.64518581167795</v>
      </c>
      <c r="L36" s="9">
        <f>$AF$18+$AF$19*Table_dat150_[[#This Row],[DecDate]]</f>
        <v>6.5966969549541234</v>
      </c>
      <c r="M36" s="9">
        <f>$AF$37+$AF$38*Table_dat150_[[#This Row],[DecDate]]+$AF$39*Table_dat150_[[#This Row],[DecDate2]]</f>
        <v>6.5985762202479492</v>
      </c>
      <c r="N36" s="9">
        <f>Table_dat150_[[#This Row],[LogExpenditure]]-Table_dat150_[[#This Row],[Log Quadratic Trend]]</f>
        <v>3.342555714768114E-2</v>
      </c>
      <c r="O36" s="9">
        <f t="shared" si="1"/>
        <v>3.7681226831587367E-4</v>
      </c>
      <c r="P36" s="9">
        <f>Table_dat150_[[#This Row],[Log Quadratic Trend]]+Table_dat150_[[#This Row],[Cycle]]</f>
        <v>6.5989530325162651</v>
      </c>
      <c r="Q36" s="9">
        <f>Table_dat150_[[#This Row],[LogExpenditure]]-Table_dat150_[[#This Row],[Log Quadratic Trend]]-Table_dat150_[[#This Row],[Cycle]]</f>
        <v>3.3048744879365266E-2</v>
      </c>
      <c r="R36" s="9">
        <f>AVERAGEIF(Table_dat150_[Quarter], B36, Table_dat150_[High Frequency])</f>
        <v>3.7456808917954526E-2</v>
      </c>
      <c r="S36" s="9">
        <f>Table_dat150_[[#This Row],[S0]]-AVERAGE($R$6:$R$9)</f>
        <v>3.7550349586397608E-2</v>
      </c>
      <c r="U36" s="3"/>
      <c r="V36" s="7" t="s">
        <v>23</v>
      </c>
      <c r="W36" s="3" t="s">
        <v>11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E36" s="3"/>
      <c r="AF36" s="3" t="s">
        <v>23</v>
      </c>
      <c r="AG36" s="3" t="s">
        <v>11</v>
      </c>
      <c r="AH36" s="3" t="s">
        <v>24</v>
      </c>
      <c r="AI36" s="3" t="s">
        <v>25</v>
      </c>
      <c r="AJ36" s="3" t="s">
        <v>26</v>
      </c>
      <c r="AK36" s="3" t="s">
        <v>27</v>
      </c>
      <c r="AL36" s="3" t="s">
        <v>28</v>
      </c>
      <c r="AM36" s="3" t="s">
        <v>29</v>
      </c>
    </row>
    <row r="37" spans="1:39" x14ac:dyDescent="0.3">
      <c r="A37">
        <v>1958</v>
      </c>
      <c r="B37">
        <v>4</v>
      </c>
      <c r="C37" s="1">
        <f>DATE(Table_dat150_[[#This Row],[Year]],(Table_dat150_[[#This Row],[Quarter]]-1)*3+2,15)</f>
        <v>21504</v>
      </c>
      <c r="D37">
        <f>Table_dat150_[[#This Row],[Year]]+1/8+(Table_dat150_[[#This Row],[Quarter]]-1)/4</f>
        <v>1958.875</v>
      </c>
      <c r="E37">
        <f>Table_dat150_[[#This Row],[DecDate]]^2</f>
        <v>3837191.265625</v>
      </c>
      <c r="F37">
        <v>735</v>
      </c>
      <c r="G37" s="8">
        <f>LN(Table_dat150_[[#This Row],[Expenditure]])</f>
        <v>6.5998704992128365</v>
      </c>
      <c r="H37" s="9">
        <f t="shared" si="0"/>
        <v>-3.1620553359683792E-2</v>
      </c>
      <c r="I37" s="9">
        <f>(1+Table_dat150_[[#This Row],[gt]])^4 -1</f>
        <v>-0.12060852178066861</v>
      </c>
      <c r="J37" s="9">
        <f>$V$18+$V$19*Table_dat150_[[#This Row],[DecDate]]</f>
        <v>729.53923387825489</v>
      </c>
      <c r="K37" s="9">
        <f>$V$37+$V$38*Table_dat150_[[#This Row],[DecDate]]+$V$39*Table_dat150_[[#This Row],[DecDate2]]</f>
        <v>735.66705976292724</v>
      </c>
      <c r="L37" s="9">
        <f>$AF$18+$AF$19*Table_dat150_[[#This Row],[DecDate]]</f>
        <v>6.5982029837048985</v>
      </c>
      <c r="M37" s="9">
        <f>$AF$37+$AF$38*Table_dat150_[[#This Row],[DecDate]]+$AF$39*Table_dat150_[[#This Row],[DecDate2]]</f>
        <v>6.5999990715896466</v>
      </c>
      <c r="N37" s="9">
        <f>Table_dat150_[[#This Row],[LogExpenditure]]-Table_dat150_[[#This Row],[Log Quadratic Trend]]</f>
        <v>-1.2857237681007661E-4</v>
      </c>
      <c r="O37" s="9">
        <f t="shared" si="1"/>
        <v>2.5623471366113294E-2</v>
      </c>
      <c r="P37" s="9">
        <f>Table_dat150_[[#This Row],[Log Quadratic Trend]]+Table_dat150_[[#This Row],[Cycle]]</f>
        <v>6.6256225429557603</v>
      </c>
      <c r="Q37" s="9">
        <f>Table_dat150_[[#This Row],[LogExpenditure]]-Table_dat150_[[#This Row],[Log Quadratic Trend]]-Table_dat150_[[#This Row],[Cycle]]</f>
        <v>-2.5752043742923371E-2</v>
      </c>
      <c r="R37" s="9">
        <f>AVERAGEIF(Table_dat150_[Quarter], B37, Table_dat150_[High Frequency])</f>
        <v>-2.8472086212635514E-2</v>
      </c>
      <c r="S37" s="9">
        <f>Table_dat150_[[#This Row],[S0]]-AVERAGE($R$6:$R$9)</f>
        <v>-2.8378545544192432E-2</v>
      </c>
      <c r="U37" t="s">
        <v>17</v>
      </c>
      <c r="V37" s="5">
        <v>74133.280274047225</v>
      </c>
      <c r="W37">
        <v>19521.521940078594</v>
      </c>
      <c r="X37">
        <v>3.7975154038501553</v>
      </c>
      <c r="Y37">
        <v>1.7911834019106567E-4</v>
      </c>
      <c r="Z37">
        <v>35706.29479053399</v>
      </c>
      <c r="AA37">
        <v>112560.26575756047</v>
      </c>
      <c r="AB37">
        <v>35706.29479053399</v>
      </c>
      <c r="AC37">
        <v>112560.26575756047</v>
      </c>
      <c r="AE37" t="s">
        <v>17</v>
      </c>
      <c r="AF37" s="5">
        <v>19.311202079996804</v>
      </c>
      <c r="AG37">
        <v>22.785161332458625</v>
      </c>
      <c r="AH37">
        <v>0.84753413847840575</v>
      </c>
      <c r="AI37">
        <v>0.3974187610949641</v>
      </c>
      <c r="AJ37">
        <v>-25.540068556045085</v>
      </c>
      <c r="AK37">
        <v>64.162472716038693</v>
      </c>
      <c r="AL37">
        <v>-25.540068556045085</v>
      </c>
      <c r="AM37">
        <v>64.162472716038693</v>
      </c>
    </row>
    <row r="38" spans="1:39" x14ac:dyDescent="0.3">
      <c r="A38">
        <v>1959</v>
      </c>
      <c r="B38">
        <v>1</v>
      </c>
      <c r="C38" s="1">
        <f>DATE(Table_dat150_[[#This Row],[Year]],(Table_dat150_[[#This Row],[Quarter]]-1)*3+2,15)</f>
        <v>21596</v>
      </c>
      <c r="D38">
        <f>Table_dat150_[[#This Row],[Year]]+1/8+(Table_dat150_[[#This Row],[Quarter]]-1)/4</f>
        <v>1959.125</v>
      </c>
      <c r="E38">
        <f>Table_dat150_[[#This Row],[DecDate]]^2</f>
        <v>3838170.765625</v>
      </c>
      <c r="F38">
        <v>731</v>
      </c>
      <c r="G38" s="8">
        <f>LN(Table_dat150_[[#This Row],[Expenditure]])</f>
        <v>6.5944134597497781</v>
      </c>
      <c r="H38" s="9">
        <f t="shared" si="0"/>
        <v>-5.4421768707482989E-3</v>
      </c>
      <c r="I38" s="9">
        <f>(1+Table_dat150_[[#This Row],[gt]])^4 -1</f>
        <v>-2.1591647601357233E-2</v>
      </c>
      <c r="J38" s="9">
        <f>$V$18+$V$19*Table_dat150_[[#This Row],[DecDate]]</f>
        <v>730.84488942208009</v>
      </c>
      <c r="K38" s="9">
        <f>$V$37+$V$38*Table_dat150_[[#This Row],[DecDate]]+$V$39*Table_dat150_[[#This Row],[DecDate2]]</f>
        <v>736.69158587856509</v>
      </c>
      <c r="L38" s="9">
        <f>$AF$18+$AF$19*Table_dat150_[[#This Row],[DecDate]]</f>
        <v>6.5997090124556737</v>
      </c>
      <c r="M38" s="9">
        <f>$AF$37+$AF$38*Table_dat150_[[#This Row],[DecDate]]+$AF$39*Table_dat150_[[#This Row],[DecDate2]]</f>
        <v>6.601422700290307</v>
      </c>
      <c r="N38" s="9">
        <f>Table_dat150_[[#This Row],[LogExpenditure]]-Table_dat150_[[#This Row],[Log Quadratic Trend]]</f>
        <v>-7.0092405405288716E-3</v>
      </c>
      <c r="O38" s="9">
        <f t="shared" si="1"/>
        <v>2.5236114413849719E-2</v>
      </c>
      <c r="P38" s="9">
        <f>Table_dat150_[[#This Row],[Log Quadratic Trend]]+Table_dat150_[[#This Row],[Cycle]]</f>
        <v>6.6266588147041565</v>
      </c>
      <c r="Q38" s="9">
        <f>Table_dat150_[[#This Row],[LogExpenditure]]-Table_dat150_[[#This Row],[Log Quadratic Trend]]-Table_dat150_[[#This Row],[Cycle]]</f>
        <v>-3.2245354954378594E-2</v>
      </c>
      <c r="R38" s="9">
        <f>AVERAGEIF(Table_dat150_[Quarter], B38, Table_dat150_[High Frequency])</f>
        <v>-4.2281954239907563E-2</v>
      </c>
      <c r="S38" s="9">
        <f>Table_dat150_[[#This Row],[S0]]-AVERAGE($R$6:$R$9)</f>
        <v>-4.2188413571464481E-2</v>
      </c>
      <c r="U38" t="s">
        <v>30</v>
      </c>
      <c r="V38" s="5">
        <v>-79.031337012670889</v>
      </c>
      <c r="W38">
        <v>19.665553293237132</v>
      </c>
      <c r="X38">
        <v>-4.0187700714146342</v>
      </c>
      <c r="Y38">
        <v>7.5185911146220328E-5</v>
      </c>
      <c r="Z38">
        <v>-117.7418398742852</v>
      </c>
      <c r="AA38">
        <v>-40.320834151056573</v>
      </c>
      <c r="AB38">
        <v>-117.7418398742852</v>
      </c>
      <c r="AC38">
        <v>-40.320834151056573</v>
      </c>
      <c r="AE38" t="s">
        <v>30</v>
      </c>
      <c r="AF38" s="5">
        <v>-1.8671024543570412E-2</v>
      </c>
      <c r="AG38">
        <v>2.2953272078573776E-2</v>
      </c>
      <c r="AH38">
        <v>-0.81343629264078998</v>
      </c>
      <c r="AI38">
        <v>0.41665666225103326</v>
      </c>
      <c r="AJ38">
        <v>-6.3853211448354999E-2</v>
      </c>
      <c r="AK38">
        <v>2.6511162361214174E-2</v>
      </c>
      <c r="AL38">
        <v>-6.3853211448354999E-2</v>
      </c>
      <c r="AM38">
        <v>2.6511162361214174E-2</v>
      </c>
    </row>
    <row r="39" spans="1:39" ht="15" thickBot="1" x14ac:dyDescent="0.35">
      <c r="A39">
        <v>1959</v>
      </c>
      <c r="B39">
        <v>2</v>
      </c>
      <c r="C39" s="1">
        <f>DATE(Table_dat150_[[#This Row],[Year]],(Table_dat150_[[#This Row],[Quarter]]-1)*3+2,15)</f>
        <v>21685</v>
      </c>
      <c r="D39">
        <f>Table_dat150_[[#This Row],[Year]]+1/8+(Table_dat150_[[#This Row],[Quarter]]-1)/4</f>
        <v>1959.375</v>
      </c>
      <c r="E39">
        <f>Table_dat150_[[#This Row],[DecDate]]^2</f>
        <v>3839150.390625</v>
      </c>
      <c r="F39">
        <v>777</v>
      </c>
      <c r="G39" s="8">
        <f>LN(Table_dat150_[[#This Row],[Expenditure]])</f>
        <v>6.6554403503676474</v>
      </c>
      <c r="H39" s="9">
        <f t="shared" si="0"/>
        <v>6.2927496580027359E-2</v>
      </c>
      <c r="I39" s="9">
        <f>(1+Table_dat150_[[#This Row],[gt]])^4 -1</f>
        <v>0.27648162462381176</v>
      </c>
      <c r="J39" s="9">
        <f>$V$18+$V$19*Table_dat150_[[#This Row],[DecDate]]</f>
        <v>732.1505449659071</v>
      </c>
      <c r="K39" s="9">
        <f>$V$37+$V$38*Table_dat150_[[#This Row],[DecDate]]+$V$39*Table_dat150_[[#This Row],[DecDate2]]</f>
        <v>737.71876415864972</v>
      </c>
      <c r="L39" s="9">
        <f>$AF$18+$AF$19*Table_dat150_[[#This Row],[DecDate]]</f>
        <v>6.6012150412064488</v>
      </c>
      <c r="M39" s="9">
        <f>$AF$37+$AF$38*Table_dat150_[[#This Row],[DecDate]]+$AF$39*Table_dat150_[[#This Row],[DecDate2]]</f>
        <v>6.602847106349941</v>
      </c>
      <c r="N39" s="9">
        <f>Table_dat150_[[#This Row],[LogExpenditure]]-Table_dat150_[[#This Row],[Log Quadratic Trend]]</f>
        <v>5.2593244017706375E-2</v>
      </c>
      <c r="O39" s="9">
        <f t="shared" si="1"/>
        <v>1.7928931312964736E-2</v>
      </c>
      <c r="P39" s="9">
        <f>Table_dat150_[[#This Row],[Log Quadratic Trend]]+Table_dat150_[[#This Row],[Cycle]]</f>
        <v>6.6207760376629059</v>
      </c>
      <c r="Q39" s="9">
        <f>Table_dat150_[[#This Row],[LogExpenditure]]-Table_dat150_[[#This Row],[Log Quadratic Trend]]-Table_dat150_[[#This Row],[Cycle]]</f>
        <v>3.4664312704741643E-2</v>
      </c>
      <c r="R39" s="9">
        <f>AVERAGEIF(Table_dat150_[Quarter], B39, Table_dat150_[High Frequency])</f>
        <v>3.2923068860816217E-2</v>
      </c>
      <c r="S39" s="9">
        <f>Table_dat150_[[#This Row],[S0]]-AVERAGE($R$6:$R$9)</f>
        <v>3.3016609529259298E-2</v>
      </c>
      <c r="U39" s="2" t="s">
        <v>31</v>
      </c>
      <c r="V39" s="6">
        <v>2.1217315333159594E-2</v>
      </c>
      <c r="W39" s="2">
        <v>4.9522396751800852E-3</v>
      </c>
      <c r="X39" s="2">
        <v>4.2843878173945686</v>
      </c>
      <c r="Y39" s="2">
        <v>2.5193239154149738E-5</v>
      </c>
      <c r="Z39" s="2">
        <v>1.1469118307684373E-2</v>
      </c>
      <c r="AA39" s="2">
        <v>3.0965512358634817E-2</v>
      </c>
      <c r="AB39" s="2">
        <v>1.1469118307684373E-2</v>
      </c>
      <c r="AC39" s="2">
        <v>3.0965512358634817E-2</v>
      </c>
      <c r="AE39" s="2" t="s">
        <v>31</v>
      </c>
      <c r="AF39" s="6">
        <v>6.2188717065404192E-6</v>
      </c>
      <c r="AG39" s="2">
        <v>5.7801630581025551E-6</v>
      </c>
      <c r="AH39" s="2">
        <v>1.075899009081221</v>
      </c>
      <c r="AI39" s="2">
        <v>0.28289530143105679</v>
      </c>
      <c r="AJ39" s="2">
        <v>-5.1590445546930581E-6</v>
      </c>
      <c r="AK39" s="2">
        <v>1.7596787967773897E-5</v>
      </c>
      <c r="AL39" s="2">
        <v>-5.1590445546930581E-6</v>
      </c>
      <c r="AM39" s="2">
        <v>1.7596787967773897E-5</v>
      </c>
    </row>
    <row r="40" spans="1:39" x14ac:dyDescent="0.3">
      <c r="A40">
        <v>1959</v>
      </c>
      <c r="B40">
        <v>3</v>
      </c>
      <c r="C40" s="1">
        <f>DATE(Table_dat150_[[#This Row],[Year]],(Table_dat150_[[#This Row],[Quarter]]-1)*3+2,15)</f>
        <v>21777</v>
      </c>
      <c r="D40">
        <f>Table_dat150_[[#This Row],[Year]]+1/8+(Table_dat150_[[#This Row],[Quarter]]-1)/4</f>
        <v>1959.625</v>
      </c>
      <c r="E40">
        <f>Table_dat150_[[#This Row],[DecDate]]^2</f>
        <v>3840130.140625</v>
      </c>
      <c r="F40">
        <v>774</v>
      </c>
      <c r="G40" s="8">
        <f>LN(Table_dat150_[[#This Row],[Expenditure]])</f>
        <v>6.6515718735897273</v>
      </c>
      <c r="H40" s="9">
        <f t="shared" si="0"/>
        <v>-3.8610038610038611E-3</v>
      </c>
      <c r="I40" s="9">
        <f>(1+Table_dat150_[[#This Row],[gt]])^4 -1</f>
        <v>-1.5354801346254443E-2</v>
      </c>
      <c r="J40" s="9">
        <f>$V$18+$V$19*Table_dat150_[[#This Row],[DecDate]]</f>
        <v>733.45620050973412</v>
      </c>
      <c r="K40" s="9">
        <f>$V$37+$V$38*Table_dat150_[[#This Row],[DecDate]]+$V$39*Table_dat150_[[#This Row],[DecDate2]]</f>
        <v>738.74859460315201</v>
      </c>
      <c r="L40" s="9">
        <f>$AF$18+$AF$19*Table_dat150_[[#This Row],[DecDate]]</f>
        <v>6.6027210699572239</v>
      </c>
      <c r="M40" s="9">
        <f>$AF$37+$AF$38*Table_dat150_[[#This Row],[DecDate]]+$AF$39*Table_dat150_[[#This Row],[DecDate2]]</f>
        <v>6.6042722897685273</v>
      </c>
      <c r="N40" s="9">
        <f>Table_dat150_[[#This Row],[LogExpenditure]]-Table_dat150_[[#This Row],[Log Quadratic Trend]]</f>
        <v>4.7299583821200031E-2</v>
      </c>
      <c r="O40" s="9">
        <f t="shared" si="1"/>
        <v>9.5826420588783993E-3</v>
      </c>
      <c r="P40" s="9">
        <f>Table_dat150_[[#This Row],[Log Quadratic Trend]]+Table_dat150_[[#This Row],[Cycle]]</f>
        <v>6.6138549318274054</v>
      </c>
      <c r="Q40" s="9">
        <f>Table_dat150_[[#This Row],[LogExpenditure]]-Table_dat150_[[#This Row],[Log Quadratic Trend]]-Table_dat150_[[#This Row],[Cycle]]</f>
        <v>3.7716941762321633E-2</v>
      </c>
      <c r="R40" s="9">
        <f>AVERAGEIF(Table_dat150_[Quarter], B40, Table_dat150_[High Frequency])</f>
        <v>3.7456808917954526E-2</v>
      </c>
      <c r="S40" s="9">
        <f>Table_dat150_[[#This Row],[S0]]-AVERAGE($R$6:$R$9)</f>
        <v>3.7550349586397608E-2</v>
      </c>
    </row>
    <row r="41" spans="1:39" x14ac:dyDescent="0.3">
      <c r="A41">
        <v>1959</v>
      </c>
      <c r="B41">
        <v>4</v>
      </c>
      <c r="C41" s="1">
        <f>DATE(Table_dat150_[[#This Row],[Year]],(Table_dat150_[[#This Row],[Quarter]]-1)*3+2,15)</f>
        <v>21869</v>
      </c>
      <c r="D41">
        <f>Table_dat150_[[#This Row],[Year]]+1/8+(Table_dat150_[[#This Row],[Quarter]]-1)/4</f>
        <v>1959.875</v>
      </c>
      <c r="E41">
        <f>Table_dat150_[[#This Row],[DecDate]]^2</f>
        <v>3841110.015625</v>
      </c>
      <c r="F41">
        <v>737</v>
      </c>
      <c r="G41" s="8">
        <f>LN(Table_dat150_[[#This Row],[Expenditure]])</f>
        <v>6.6025878921893364</v>
      </c>
      <c r="H41" s="9">
        <f t="shared" si="0"/>
        <v>-4.7803617571059429E-2</v>
      </c>
      <c r="I41" s="9">
        <f>(1+Table_dat150_[[#This Row],[gt]])^4 -1</f>
        <v>-0.17793509369493454</v>
      </c>
      <c r="J41" s="9">
        <f>$V$18+$V$19*Table_dat150_[[#This Row],[DecDate]]</f>
        <v>734.76185605356113</v>
      </c>
      <c r="K41" s="9">
        <f>$V$37+$V$38*Table_dat150_[[#This Row],[DecDate]]+$V$39*Table_dat150_[[#This Row],[DecDate2]]</f>
        <v>739.78107721207198</v>
      </c>
      <c r="L41" s="9">
        <f>$AF$18+$AF$19*Table_dat150_[[#This Row],[DecDate]]</f>
        <v>6.6042270987080007</v>
      </c>
      <c r="M41" s="9">
        <f>$AF$37+$AF$38*Table_dat150_[[#This Row],[DecDate]]+$AF$39*Table_dat150_[[#This Row],[DecDate2]]</f>
        <v>6.6056982505460802</v>
      </c>
      <c r="N41" s="9">
        <f>Table_dat150_[[#This Row],[LogExpenditure]]-Table_dat150_[[#This Row],[Log Quadratic Trend]]</f>
        <v>-3.1103583567437809E-3</v>
      </c>
      <c r="O41" s="9">
        <f t="shared" si="1"/>
        <v>1.5674344810494567E-2</v>
      </c>
      <c r="P41" s="9">
        <f>Table_dat150_[[#This Row],[Log Quadratic Trend]]+Table_dat150_[[#This Row],[Cycle]]</f>
        <v>6.6213725953565747</v>
      </c>
      <c r="Q41" s="9">
        <f>Table_dat150_[[#This Row],[LogExpenditure]]-Table_dat150_[[#This Row],[Log Quadratic Trend]]-Table_dat150_[[#This Row],[Cycle]]</f>
        <v>-1.8784703167238348E-2</v>
      </c>
      <c r="R41" s="9">
        <f>AVERAGEIF(Table_dat150_[Quarter], B41, Table_dat150_[High Frequency])</f>
        <v>-2.8472086212635514E-2</v>
      </c>
      <c r="S41" s="9">
        <f>Table_dat150_[[#This Row],[S0]]-AVERAGE($R$6:$R$9)</f>
        <v>-2.8378545544192432E-2</v>
      </c>
    </row>
    <row r="42" spans="1:39" x14ac:dyDescent="0.3">
      <c r="A42">
        <v>1960</v>
      </c>
      <c r="B42">
        <v>1</v>
      </c>
      <c r="C42" s="1">
        <f>DATE(Table_dat150_[[#This Row],[Year]],(Table_dat150_[[#This Row],[Quarter]]-1)*3+2,15)</f>
        <v>21961</v>
      </c>
      <c r="D42">
        <f>Table_dat150_[[#This Row],[Year]]+1/8+(Table_dat150_[[#This Row],[Quarter]]-1)/4</f>
        <v>1960.125</v>
      </c>
      <c r="E42">
        <f>Table_dat150_[[#This Row],[DecDate]]^2</f>
        <v>3842090.015625</v>
      </c>
      <c r="F42">
        <v>710</v>
      </c>
      <c r="G42" s="8">
        <f>LN(Table_dat150_[[#This Row],[Expenditure]])</f>
        <v>6.5652649700353614</v>
      </c>
      <c r="H42" s="9">
        <f t="shared" si="0"/>
        <v>-3.6635006784260515E-2</v>
      </c>
      <c r="I42" s="9">
        <f>(1+Table_dat150_[[#This Row],[gt]])^4 -1</f>
        <v>-0.13868215835511499</v>
      </c>
      <c r="J42" s="9">
        <f>$V$18+$V$19*Table_dat150_[[#This Row],[DecDate]]</f>
        <v>736.06751159738633</v>
      </c>
      <c r="K42" s="9">
        <f>$V$37+$V$38*Table_dat150_[[#This Row],[DecDate]]+$V$39*Table_dat150_[[#This Row],[DecDate2]]</f>
        <v>740.81621198539506</v>
      </c>
      <c r="L42" s="9">
        <f>$AF$18+$AF$19*Table_dat150_[[#This Row],[DecDate]]</f>
        <v>6.6057331274587758</v>
      </c>
      <c r="M42" s="9">
        <f>$AF$37+$AF$38*Table_dat150_[[#This Row],[DecDate]]+$AF$39*Table_dat150_[[#This Row],[DecDate2]]</f>
        <v>6.6071249886826031</v>
      </c>
      <c r="N42" s="9">
        <f>Table_dat150_[[#This Row],[LogExpenditure]]-Table_dat150_[[#This Row],[Log Quadratic Trend]]</f>
        <v>-4.1860018647241759E-2</v>
      </c>
      <c r="O42" s="9">
        <f t="shared" si="1"/>
        <v>1.2437639569995084E-2</v>
      </c>
      <c r="P42" s="9">
        <f>Table_dat150_[[#This Row],[Log Quadratic Trend]]+Table_dat150_[[#This Row],[Cycle]]</f>
        <v>6.6195626282525986</v>
      </c>
      <c r="Q42" s="9">
        <f>Table_dat150_[[#This Row],[LogExpenditure]]-Table_dat150_[[#This Row],[Log Quadratic Trend]]-Table_dat150_[[#This Row],[Cycle]]</f>
        <v>-5.4297658217236845E-2</v>
      </c>
      <c r="R42" s="9">
        <f>AVERAGEIF(Table_dat150_[Quarter], B42, Table_dat150_[High Frequency])</f>
        <v>-4.2281954239907563E-2</v>
      </c>
      <c r="S42" s="9">
        <f>Table_dat150_[[#This Row],[S0]]-AVERAGE($R$6:$R$9)</f>
        <v>-4.2188413571464481E-2</v>
      </c>
    </row>
    <row r="43" spans="1:39" x14ac:dyDescent="0.3">
      <c r="A43">
        <v>1960</v>
      </c>
      <c r="B43">
        <v>2</v>
      </c>
      <c r="C43" s="1">
        <f>DATE(Table_dat150_[[#This Row],[Year]],(Table_dat150_[[#This Row],[Quarter]]-1)*3+2,15)</f>
        <v>22051</v>
      </c>
      <c r="D43">
        <f>Table_dat150_[[#This Row],[Year]]+1/8+(Table_dat150_[[#This Row],[Quarter]]-1)/4</f>
        <v>1960.375</v>
      </c>
      <c r="E43">
        <f>Table_dat150_[[#This Row],[DecDate]]^2</f>
        <v>3843070.140625</v>
      </c>
      <c r="F43">
        <v>759</v>
      </c>
      <c r="G43" s="8">
        <f>LN(Table_dat150_[[#This Row],[Expenditure]])</f>
        <v>6.6320017773956303</v>
      </c>
      <c r="H43" s="9">
        <f t="shared" si="0"/>
        <v>6.9014084507042259E-2</v>
      </c>
      <c r="I43" s="9">
        <f>(1+Table_dat150_[[#This Row],[gt]])^4 -1</f>
        <v>0.30597152766477698</v>
      </c>
      <c r="J43" s="9">
        <f>$V$18+$V$19*Table_dat150_[[#This Row],[DecDate]]</f>
        <v>737.37316714121334</v>
      </c>
      <c r="K43" s="9">
        <f>$V$37+$V$38*Table_dat150_[[#This Row],[DecDate]]+$V$39*Table_dat150_[[#This Row],[DecDate2]]</f>
        <v>741.85399892315036</v>
      </c>
      <c r="L43" s="9">
        <f>$AF$18+$AF$19*Table_dat150_[[#This Row],[DecDate]]</f>
        <v>6.6072391562095509</v>
      </c>
      <c r="M43" s="9">
        <f>$AF$37+$AF$38*Table_dat150_[[#This Row],[DecDate]]+$AF$39*Table_dat150_[[#This Row],[DecDate2]]</f>
        <v>6.6085525041780784</v>
      </c>
      <c r="N43" s="9">
        <f>Table_dat150_[[#This Row],[LogExpenditure]]-Table_dat150_[[#This Row],[Log Quadratic Trend]]</f>
        <v>2.3449273217551969E-2</v>
      </c>
      <c r="O43" s="9">
        <f t="shared" si="1"/>
        <v>-7.6646900809775433E-3</v>
      </c>
      <c r="P43" s="9">
        <f>Table_dat150_[[#This Row],[Log Quadratic Trend]]+Table_dat150_[[#This Row],[Cycle]]</f>
        <v>6.600887814097101</v>
      </c>
      <c r="Q43" s="9">
        <f>Table_dat150_[[#This Row],[LogExpenditure]]-Table_dat150_[[#This Row],[Log Quadratic Trend]]-Table_dat150_[[#This Row],[Cycle]]</f>
        <v>3.1113963298529512E-2</v>
      </c>
      <c r="R43" s="9">
        <f>AVERAGEIF(Table_dat150_[Quarter], B43, Table_dat150_[High Frequency])</f>
        <v>3.2923068860816217E-2</v>
      </c>
      <c r="S43" s="9">
        <f>Table_dat150_[[#This Row],[S0]]-AVERAGE($R$6:$R$9)</f>
        <v>3.3016609529259298E-2</v>
      </c>
    </row>
    <row r="44" spans="1:39" x14ac:dyDescent="0.3">
      <c r="A44">
        <v>1960</v>
      </c>
      <c r="B44">
        <v>3</v>
      </c>
      <c r="C44" s="1">
        <f>DATE(Table_dat150_[[#This Row],[Year]],(Table_dat150_[[#This Row],[Quarter]]-1)*3+2,15)</f>
        <v>22143</v>
      </c>
      <c r="D44">
        <f>Table_dat150_[[#This Row],[Year]]+1/8+(Table_dat150_[[#This Row],[Quarter]]-1)/4</f>
        <v>1960.625</v>
      </c>
      <c r="E44">
        <f>Table_dat150_[[#This Row],[DecDate]]^2</f>
        <v>3844050.390625</v>
      </c>
      <c r="F44">
        <v>770</v>
      </c>
      <c r="G44" s="8">
        <f>LN(Table_dat150_[[#This Row],[Expenditure]])</f>
        <v>6.6463905148477291</v>
      </c>
      <c r="H44" s="9">
        <f t="shared" si="0"/>
        <v>1.4492753623188406E-2</v>
      </c>
      <c r="I44" s="9">
        <f>(1+Table_dat150_[[#This Row],[gt]])^4 -1</f>
        <v>5.9243474281537756E-2</v>
      </c>
      <c r="J44" s="9">
        <f>$V$18+$V$19*Table_dat150_[[#This Row],[DecDate]]</f>
        <v>738.67882268504036</v>
      </c>
      <c r="K44" s="9">
        <f>$V$37+$V$38*Table_dat150_[[#This Row],[DecDate]]+$V$39*Table_dat150_[[#This Row],[DecDate2]]</f>
        <v>742.89443802529422</v>
      </c>
      <c r="L44" s="9">
        <f>$AF$18+$AF$19*Table_dat150_[[#This Row],[DecDate]]</f>
        <v>6.608745184960326</v>
      </c>
      <c r="M44" s="9">
        <f>$AF$37+$AF$38*Table_dat150_[[#This Row],[DecDate]]+$AF$39*Table_dat150_[[#This Row],[DecDate2]]</f>
        <v>6.6099807970325202</v>
      </c>
      <c r="N44" s="9">
        <f>Table_dat150_[[#This Row],[LogExpenditure]]-Table_dat150_[[#This Row],[Log Quadratic Trend]]</f>
        <v>3.6409717815208964E-2</v>
      </c>
      <c r="O44" s="9">
        <f t="shared" si="1"/>
        <v>-1.1825265866584899E-2</v>
      </c>
      <c r="P44" s="9">
        <f>Table_dat150_[[#This Row],[Log Quadratic Trend]]+Table_dat150_[[#This Row],[Cycle]]</f>
        <v>6.5981555311659355</v>
      </c>
      <c r="Q44" s="9">
        <f>Table_dat150_[[#This Row],[LogExpenditure]]-Table_dat150_[[#This Row],[Log Quadratic Trend]]-Table_dat150_[[#This Row],[Cycle]]</f>
        <v>4.8234983681793867E-2</v>
      </c>
      <c r="R44" s="9">
        <f>AVERAGEIF(Table_dat150_[Quarter], B44, Table_dat150_[High Frequency])</f>
        <v>3.7456808917954526E-2</v>
      </c>
      <c r="S44" s="9">
        <f>Table_dat150_[[#This Row],[S0]]-AVERAGE($R$6:$R$9)</f>
        <v>3.7550349586397608E-2</v>
      </c>
    </row>
    <row r="45" spans="1:39" x14ac:dyDescent="0.3">
      <c r="A45">
        <v>1960</v>
      </c>
      <c r="B45">
        <v>4</v>
      </c>
      <c r="C45" s="1">
        <f>DATE(Table_dat150_[[#This Row],[Year]],(Table_dat150_[[#This Row],[Quarter]]-1)*3+2,15)</f>
        <v>22235</v>
      </c>
      <c r="D45">
        <f>Table_dat150_[[#This Row],[Year]]+1/8+(Table_dat150_[[#This Row],[Quarter]]-1)/4</f>
        <v>1960.875</v>
      </c>
      <c r="E45">
        <f>Table_dat150_[[#This Row],[DecDate]]^2</f>
        <v>3845030.765625</v>
      </c>
      <c r="F45">
        <v>705</v>
      </c>
      <c r="G45" s="8">
        <f>LN(Table_dat150_[[#This Row],[Expenditure]])</f>
        <v>6.5581978028122689</v>
      </c>
      <c r="H45" s="9">
        <f t="shared" si="0"/>
        <v>-8.4415584415584416E-2</v>
      </c>
      <c r="I45" s="9">
        <f>(1+Table_dat150_[[#This Row],[gt]])^4 -1</f>
        <v>-0.29726179130562269</v>
      </c>
      <c r="J45" s="9">
        <f>$V$18+$V$19*Table_dat150_[[#This Row],[DecDate]]</f>
        <v>739.98447822886556</v>
      </c>
      <c r="K45" s="9">
        <f>$V$37+$V$38*Table_dat150_[[#This Row],[DecDate]]+$V$39*Table_dat150_[[#This Row],[DecDate2]]</f>
        <v>743.93752929187031</v>
      </c>
      <c r="L45" s="9">
        <f>$AF$18+$AF$19*Table_dat150_[[#This Row],[DecDate]]</f>
        <v>6.6102512137111011</v>
      </c>
      <c r="M45" s="9">
        <f>$AF$37+$AF$38*Table_dat150_[[#This Row],[DecDate]]+$AF$39*Table_dat150_[[#This Row],[DecDate2]]</f>
        <v>6.611409867245932</v>
      </c>
      <c r="N45" s="9">
        <f>Table_dat150_[[#This Row],[LogExpenditure]]-Table_dat150_[[#This Row],[Log Quadratic Trend]]</f>
        <v>-5.3212064433663109E-2</v>
      </c>
      <c r="O45" s="9">
        <f t="shared" si="1"/>
        <v>3.7484796304211089E-3</v>
      </c>
      <c r="P45" s="9">
        <f>Table_dat150_[[#This Row],[Log Quadratic Trend]]+Table_dat150_[[#This Row],[Cycle]]</f>
        <v>6.6151583468763535</v>
      </c>
      <c r="Q45" s="9">
        <f>Table_dat150_[[#This Row],[LogExpenditure]]-Table_dat150_[[#This Row],[Log Quadratic Trend]]-Table_dat150_[[#This Row],[Cycle]]</f>
        <v>-5.6960544064084219E-2</v>
      </c>
      <c r="R45" s="9">
        <f>AVERAGEIF(Table_dat150_[Quarter], B45, Table_dat150_[High Frequency])</f>
        <v>-2.8472086212635514E-2</v>
      </c>
      <c r="S45" s="9">
        <f>Table_dat150_[[#This Row],[S0]]-AVERAGE($R$6:$R$9)</f>
        <v>-2.8378545544192432E-2</v>
      </c>
    </row>
    <row r="46" spans="1:39" x14ac:dyDescent="0.3">
      <c r="A46">
        <v>1961</v>
      </c>
      <c r="B46">
        <v>1</v>
      </c>
      <c r="C46" s="1">
        <f>DATE(Table_dat150_[[#This Row],[Year]],(Table_dat150_[[#This Row],[Quarter]]-1)*3+2,15)</f>
        <v>22327</v>
      </c>
      <c r="D46">
        <f>Table_dat150_[[#This Row],[Year]]+1/8+(Table_dat150_[[#This Row],[Quarter]]-1)/4</f>
        <v>1961.125</v>
      </c>
      <c r="E46">
        <f>Table_dat150_[[#This Row],[DecDate]]^2</f>
        <v>3846011.265625</v>
      </c>
      <c r="F46">
        <v>727</v>
      </c>
      <c r="G46" s="8">
        <f>LN(Table_dat150_[[#This Row],[Expenditure]])</f>
        <v>6.5889264775335192</v>
      </c>
      <c r="H46" s="9">
        <f t="shared" si="0"/>
        <v>3.1205673758865248E-2</v>
      </c>
      <c r="I46" s="9">
        <f>(1+Table_dat150_[[#This Row],[gt]])^4 -1</f>
        <v>0.13078795935964882</v>
      </c>
      <c r="J46" s="9">
        <f>$V$18+$V$19*Table_dat150_[[#This Row],[DecDate]]</f>
        <v>741.29013377269257</v>
      </c>
      <c r="K46" s="9">
        <f>$V$37+$V$38*Table_dat150_[[#This Row],[DecDate]]+$V$39*Table_dat150_[[#This Row],[DecDate2]]</f>
        <v>744.98327272287861</v>
      </c>
      <c r="L46" s="9">
        <f>$AF$18+$AF$19*Table_dat150_[[#This Row],[DecDate]]</f>
        <v>6.6117572424618762</v>
      </c>
      <c r="M46" s="9">
        <f>$AF$37+$AF$38*Table_dat150_[[#This Row],[DecDate]]+$AF$39*Table_dat150_[[#This Row],[DecDate2]]</f>
        <v>6.6128397148182998</v>
      </c>
      <c r="N46" s="9">
        <f>Table_dat150_[[#This Row],[LogExpenditure]]-Table_dat150_[[#This Row],[Log Quadratic Trend]]</f>
        <v>-2.3913237284780564E-2</v>
      </c>
      <c r="O46" s="9">
        <f t="shared" si="1"/>
        <v>2.8449481512623719E-3</v>
      </c>
      <c r="P46" s="9">
        <f>Table_dat150_[[#This Row],[Log Quadratic Trend]]+Table_dat150_[[#This Row],[Cycle]]</f>
        <v>6.6156846629695618</v>
      </c>
      <c r="Q46" s="9">
        <f>Table_dat150_[[#This Row],[LogExpenditure]]-Table_dat150_[[#This Row],[Log Quadratic Trend]]-Table_dat150_[[#This Row],[Cycle]]</f>
        <v>-2.6758185436042935E-2</v>
      </c>
      <c r="R46" s="9">
        <f>AVERAGEIF(Table_dat150_[Quarter], B46, Table_dat150_[High Frequency])</f>
        <v>-4.2281954239907563E-2</v>
      </c>
      <c r="S46" s="9">
        <f>Table_dat150_[[#This Row],[S0]]-AVERAGE($R$6:$R$9)</f>
        <v>-4.2188413571464481E-2</v>
      </c>
    </row>
    <row r="47" spans="1:39" x14ac:dyDescent="0.3">
      <c r="A47">
        <v>1961</v>
      </c>
      <c r="B47">
        <v>2</v>
      </c>
      <c r="C47" s="1">
        <f>DATE(Table_dat150_[[#This Row],[Year]],(Table_dat150_[[#This Row],[Quarter]]-1)*3+2,15)</f>
        <v>22416</v>
      </c>
      <c r="D47">
        <f>Table_dat150_[[#This Row],[Year]]+1/8+(Table_dat150_[[#This Row],[Quarter]]-1)/4</f>
        <v>1961.375</v>
      </c>
      <c r="E47">
        <f>Table_dat150_[[#This Row],[DecDate]]^2</f>
        <v>3846991.890625</v>
      </c>
      <c r="F47">
        <v>773</v>
      </c>
      <c r="G47" s="8">
        <f>LN(Table_dat150_[[#This Row],[Expenditure]])</f>
        <v>6.6502790485874224</v>
      </c>
      <c r="H47" s="9">
        <f t="shared" si="0"/>
        <v>6.3273727647867956E-2</v>
      </c>
      <c r="I47" s="9">
        <f>(1+Table_dat150_[[#This Row],[gt]])^4 -1</f>
        <v>0.27814560861093174</v>
      </c>
      <c r="J47" s="9">
        <f>$V$18+$V$19*Table_dat150_[[#This Row],[DecDate]]</f>
        <v>742.59578931651959</v>
      </c>
      <c r="K47" s="9">
        <f>$V$37+$V$38*Table_dat150_[[#This Row],[DecDate]]+$V$39*Table_dat150_[[#This Row],[DecDate2]]</f>
        <v>746.03166831829003</v>
      </c>
      <c r="L47" s="9">
        <f>$AF$18+$AF$19*Table_dat150_[[#This Row],[DecDate]]</f>
        <v>6.6132632712126531</v>
      </c>
      <c r="M47" s="9">
        <f>$AF$37+$AF$38*Table_dat150_[[#This Row],[DecDate]]+$AF$39*Table_dat150_[[#This Row],[DecDate2]]</f>
        <v>6.6142703397496341</v>
      </c>
      <c r="N47" s="9">
        <f>Table_dat150_[[#This Row],[LogExpenditure]]-Table_dat150_[[#This Row],[Log Quadratic Trend]]</f>
        <v>3.6008708837788284E-2</v>
      </c>
      <c r="O47" s="9">
        <f t="shared" si="1"/>
        <v>-9.5290333478860838E-3</v>
      </c>
      <c r="P47" s="9">
        <f>Table_dat150_[[#This Row],[Log Quadratic Trend]]+Table_dat150_[[#This Row],[Cycle]]</f>
        <v>6.6047413064017482</v>
      </c>
      <c r="Q47" s="9">
        <f>Table_dat150_[[#This Row],[LogExpenditure]]-Table_dat150_[[#This Row],[Log Quadratic Trend]]-Table_dat150_[[#This Row],[Cycle]]</f>
        <v>4.5537742185674371E-2</v>
      </c>
      <c r="R47" s="9">
        <f>AVERAGEIF(Table_dat150_[Quarter], B47, Table_dat150_[High Frequency])</f>
        <v>3.2923068860816217E-2</v>
      </c>
      <c r="S47" s="9">
        <f>Table_dat150_[[#This Row],[S0]]-AVERAGE($R$6:$R$9)</f>
        <v>3.3016609529259298E-2</v>
      </c>
    </row>
    <row r="48" spans="1:39" x14ac:dyDescent="0.3">
      <c r="A48">
        <v>1961</v>
      </c>
      <c r="B48">
        <v>3</v>
      </c>
      <c r="C48" s="1">
        <f>DATE(Table_dat150_[[#This Row],[Year]],(Table_dat150_[[#This Row],[Quarter]]-1)*3+2,15)</f>
        <v>22508</v>
      </c>
      <c r="D48">
        <f>Table_dat150_[[#This Row],[Year]]+1/8+(Table_dat150_[[#This Row],[Quarter]]-1)/4</f>
        <v>1961.625</v>
      </c>
      <c r="E48">
        <f>Table_dat150_[[#This Row],[DecDate]]^2</f>
        <v>3847972.640625</v>
      </c>
      <c r="F48">
        <v>761</v>
      </c>
      <c r="G48" s="8">
        <f>LN(Table_dat150_[[#This Row],[Expenditure]])</f>
        <v>6.6346333578616861</v>
      </c>
      <c r="H48" s="9">
        <f t="shared" si="0"/>
        <v>-1.5523932729624839E-2</v>
      </c>
      <c r="I48" s="9">
        <f>(1+Table_dat150_[[#This Row],[gt]])^4 -1</f>
        <v>-6.0664682521407332E-2</v>
      </c>
      <c r="J48" s="9">
        <f>$V$18+$V$19*Table_dat150_[[#This Row],[DecDate]]</f>
        <v>743.90144486034478</v>
      </c>
      <c r="K48" s="9">
        <f>$V$37+$V$38*Table_dat150_[[#This Row],[DecDate]]+$V$39*Table_dat150_[[#This Row],[DecDate2]]</f>
        <v>747.08271607811912</v>
      </c>
      <c r="L48" s="9">
        <f>$AF$18+$AF$19*Table_dat150_[[#This Row],[DecDate]]</f>
        <v>6.6147692999634282</v>
      </c>
      <c r="M48" s="9">
        <f>$AF$37+$AF$38*Table_dat150_[[#This Row],[DecDate]]+$AF$39*Table_dat150_[[#This Row],[DecDate2]]</f>
        <v>6.6157017420399278</v>
      </c>
      <c r="N48" s="9">
        <f>Table_dat150_[[#This Row],[LogExpenditure]]-Table_dat150_[[#This Row],[Log Quadratic Trend]]</f>
        <v>1.8931615821758285E-2</v>
      </c>
      <c r="O48" s="9">
        <f t="shared" si="1"/>
        <v>-5.9181517688834621E-3</v>
      </c>
      <c r="P48" s="9">
        <f>Table_dat150_[[#This Row],[Log Quadratic Trend]]+Table_dat150_[[#This Row],[Cycle]]</f>
        <v>6.6097835902710447</v>
      </c>
      <c r="Q48" s="9">
        <f>Table_dat150_[[#This Row],[LogExpenditure]]-Table_dat150_[[#This Row],[Log Quadratic Trend]]-Table_dat150_[[#This Row],[Cycle]]</f>
        <v>2.4849767590641746E-2</v>
      </c>
      <c r="R48" s="9">
        <f>AVERAGEIF(Table_dat150_[Quarter], B48, Table_dat150_[High Frequency])</f>
        <v>3.7456808917954526E-2</v>
      </c>
      <c r="S48" s="9">
        <f>Table_dat150_[[#This Row],[S0]]-AVERAGE($R$6:$R$9)</f>
        <v>3.7550349586397608E-2</v>
      </c>
    </row>
    <row r="49" spans="1:19" x14ac:dyDescent="0.3">
      <c r="A49">
        <v>1961</v>
      </c>
      <c r="B49">
        <v>4</v>
      </c>
      <c r="C49" s="1">
        <f>DATE(Table_dat150_[[#This Row],[Year]],(Table_dat150_[[#This Row],[Quarter]]-1)*3+2,15)</f>
        <v>22600</v>
      </c>
      <c r="D49">
        <f>Table_dat150_[[#This Row],[Year]]+1/8+(Table_dat150_[[#This Row],[Quarter]]-1)/4</f>
        <v>1961.875</v>
      </c>
      <c r="E49">
        <f>Table_dat150_[[#This Row],[DecDate]]^2</f>
        <v>3848953.515625</v>
      </c>
      <c r="F49">
        <v>729</v>
      </c>
      <c r="G49" s="8">
        <f>LN(Table_dat150_[[#This Row],[Expenditure]])</f>
        <v>6.5916737320086582</v>
      </c>
      <c r="H49" s="9">
        <f t="shared" si="0"/>
        <v>-4.2049934296977662E-2</v>
      </c>
      <c r="I49" s="9">
        <f>(1+Table_dat150_[[#This Row],[gt]])^4 -1</f>
        <v>-0.15788483908747686</v>
      </c>
      <c r="J49" s="9">
        <f>$V$18+$V$19*Table_dat150_[[#This Row],[DecDate]]</f>
        <v>745.2071004041718</v>
      </c>
      <c r="K49" s="9">
        <f>$V$37+$V$38*Table_dat150_[[#This Row],[DecDate]]+$V$39*Table_dat150_[[#This Row],[DecDate2]]</f>
        <v>748.13641600236588</v>
      </c>
      <c r="L49" s="9">
        <f>$AF$18+$AF$19*Table_dat150_[[#This Row],[DecDate]]</f>
        <v>6.6162753287142033</v>
      </c>
      <c r="M49" s="9">
        <f>$AF$37+$AF$38*Table_dat150_[[#This Row],[DecDate]]+$AF$39*Table_dat150_[[#This Row],[DecDate2]]</f>
        <v>6.6171339216891916</v>
      </c>
      <c r="N49" s="9">
        <f>Table_dat150_[[#This Row],[LogExpenditure]]-Table_dat150_[[#This Row],[Log Quadratic Trend]]</f>
        <v>-2.5460189680533318E-2</v>
      </c>
      <c r="O49" s="9">
        <f t="shared" si="1"/>
        <v>6.9794030430903927E-3</v>
      </c>
      <c r="P49" s="9">
        <f>Table_dat150_[[#This Row],[Log Quadratic Trend]]+Table_dat150_[[#This Row],[Cycle]]</f>
        <v>6.6241133247322823</v>
      </c>
      <c r="Q49" s="9">
        <f>Table_dat150_[[#This Row],[LogExpenditure]]-Table_dat150_[[#This Row],[Log Quadratic Trend]]-Table_dat150_[[#This Row],[Cycle]]</f>
        <v>-3.2439592723623713E-2</v>
      </c>
      <c r="R49" s="9">
        <f>AVERAGEIF(Table_dat150_[Quarter], B49, Table_dat150_[High Frequency])</f>
        <v>-2.8472086212635514E-2</v>
      </c>
      <c r="S49" s="9">
        <f>Table_dat150_[[#This Row],[S0]]-AVERAGE($R$6:$R$9)</f>
        <v>-2.8378545544192432E-2</v>
      </c>
    </row>
    <row r="50" spans="1:19" x14ac:dyDescent="0.3">
      <c r="A50">
        <v>1962</v>
      </c>
      <c r="B50">
        <v>1</v>
      </c>
      <c r="C50" s="1">
        <f>DATE(Table_dat150_[[#This Row],[Year]],(Table_dat150_[[#This Row],[Quarter]]-1)*3+2,15)</f>
        <v>22692</v>
      </c>
      <c r="D50">
        <f>Table_dat150_[[#This Row],[Year]]+1/8+(Table_dat150_[[#This Row],[Quarter]]-1)/4</f>
        <v>1962.125</v>
      </c>
      <c r="E50">
        <f>Table_dat150_[[#This Row],[DecDate]]^2</f>
        <v>3849934.515625</v>
      </c>
      <c r="F50">
        <v>723</v>
      </c>
      <c r="G50" s="8">
        <f>LN(Table_dat150_[[#This Row],[Expenditure]])</f>
        <v>6.5834092221587648</v>
      </c>
      <c r="H50" s="9">
        <f t="shared" si="0"/>
        <v>-8.23045267489712E-3</v>
      </c>
      <c r="I50" s="9">
        <f>(1+Table_dat150_[[#This Row],[gt]])^4 -1</f>
        <v>-3.25175941384509E-2</v>
      </c>
      <c r="J50" s="9">
        <f>$V$18+$V$19*Table_dat150_[[#This Row],[DecDate]]</f>
        <v>746.51275594799881</v>
      </c>
      <c r="K50" s="9">
        <f>$V$37+$V$38*Table_dat150_[[#This Row],[DecDate]]+$V$39*Table_dat150_[[#This Row],[DecDate2]]</f>
        <v>749.1927680910303</v>
      </c>
      <c r="L50" s="9">
        <f>$AF$18+$AF$19*Table_dat150_[[#This Row],[DecDate]]</f>
        <v>6.6177813574649784</v>
      </c>
      <c r="M50" s="9">
        <f>$AF$37+$AF$38*Table_dat150_[[#This Row],[DecDate]]+$AF$39*Table_dat150_[[#This Row],[DecDate2]]</f>
        <v>6.6185668786974148</v>
      </c>
      <c r="N50" s="9">
        <f>Table_dat150_[[#This Row],[LogExpenditure]]-Table_dat150_[[#This Row],[Log Quadratic Trend]]</f>
        <v>-3.5157656538649995E-2</v>
      </c>
      <c r="O50" s="9">
        <f t="shared" si="1"/>
        <v>3.4658030826891562E-3</v>
      </c>
      <c r="P50" s="9">
        <f>Table_dat150_[[#This Row],[Log Quadratic Trend]]+Table_dat150_[[#This Row],[Cycle]]</f>
        <v>6.6220326817801043</v>
      </c>
      <c r="Q50" s="9">
        <f>Table_dat150_[[#This Row],[LogExpenditure]]-Table_dat150_[[#This Row],[Log Quadratic Trend]]-Table_dat150_[[#This Row],[Cycle]]</f>
        <v>-3.8623459621339153E-2</v>
      </c>
      <c r="R50" s="9">
        <f>AVERAGEIF(Table_dat150_[Quarter], B50, Table_dat150_[High Frequency])</f>
        <v>-4.2281954239907563E-2</v>
      </c>
      <c r="S50" s="9">
        <f>Table_dat150_[[#This Row],[S0]]-AVERAGE($R$6:$R$9)</f>
        <v>-4.2188413571464481E-2</v>
      </c>
    </row>
    <row r="51" spans="1:19" x14ac:dyDescent="0.3">
      <c r="A51">
        <v>1962</v>
      </c>
      <c r="B51">
        <v>2</v>
      </c>
      <c r="C51" s="1">
        <f>DATE(Table_dat150_[[#This Row],[Year]],(Table_dat150_[[#This Row],[Quarter]]-1)*3+2,15)</f>
        <v>22781</v>
      </c>
      <c r="D51">
        <f>Table_dat150_[[#This Row],[Year]]+1/8+(Table_dat150_[[#This Row],[Quarter]]-1)/4</f>
        <v>1962.375</v>
      </c>
      <c r="E51">
        <f>Table_dat150_[[#This Row],[DecDate]]^2</f>
        <v>3850915.640625</v>
      </c>
      <c r="F51">
        <v>781</v>
      </c>
      <c r="G51" s="8">
        <f>LN(Table_dat150_[[#This Row],[Expenditure]])</f>
        <v>6.6605751498396861</v>
      </c>
      <c r="H51" s="9">
        <f t="shared" si="0"/>
        <v>8.0221300138312593E-2</v>
      </c>
      <c r="I51" s="9">
        <f>(1+Table_dat150_[[#This Row],[gt]])^4 -1</f>
        <v>0.36160440054405862</v>
      </c>
      <c r="J51" s="9">
        <f>$V$18+$V$19*Table_dat150_[[#This Row],[DecDate]]</f>
        <v>747.81841149182583</v>
      </c>
      <c r="K51" s="9">
        <f>$V$37+$V$38*Table_dat150_[[#This Row],[DecDate]]+$V$39*Table_dat150_[[#This Row],[DecDate2]]</f>
        <v>750.25177234409784</v>
      </c>
      <c r="L51" s="9">
        <f>$AF$18+$AF$19*Table_dat150_[[#This Row],[DecDate]]</f>
        <v>6.6192873862157535</v>
      </c>
      <c r="M51" s="9">
        <f>$AF$37+$AF$38*Table_dat150_[[#This Row],[DecDate]]+$AF$39*Table_dat150_[[#This Row],[DecDate2]]</f>
        <v>6.6200006130645974</v>
      </c>
      <c r="N51" s="9">
        <f>Table_dat150_[[#This Row],[LogExpenditure]]-Table_dat150_[[#This Row],[Log Quadratic Trend]]</f>
        <v>4.057453677508871E-2</v>
      </c>
      <c r="O51" s="9">
        <f t="shared" si="1"/>
        <v>-6.285696028348298E-3</v>
      </c>
      <c r="P51" s="9">
        <f>Table_dat150_[[#This Row],[Log Quadratic Trend]]+Table_dat150_[[#This Row],[Cycle]]</f>
        <v>6.6137149170362495</v>
      </c>
      <c r="Q51" s="9">
        <f>Table_dat150_[[#This Row],[LogExpenditure]]-Table_dat150_[[#This Row],[Log Quadratic Trend]]-Table_dat150_[[#This Row],[Cycle]]</f>
        <v>4.6860232803437006E-2</v>
      </c>
      <c r="R51" s="9">
        <f>AVERAGEIF(Table_dat150_[Quarter], B51, Table_dat150_[High Frequency])</f>
        <v>3.2923068860816217E-2</v>
      </c>
      <c r="S51" s="9">
        <f>Table_dat150_[[#This Row],[S0]]-AVERAGE($R$6:$R$9)</f>
        <v>3.3016609529259298E-2</v>
      </c>
    </row>
    <row r="52" spans="1:19" x14ac:dyDescent="0.3">
      <c r="A52">
        <v>1962</v>
      </c>
      <c r="B52">
        <v>3</v>
      </c>
      <c r="C52" s="1">
        <f>DATE(Table_dat150_[[#This Row],[Year]],(Table_dat150_[[#This Row],[Quarter]]-1)*3+2,15)</f>
        <v>22873</v>
      </c>
      <c r="D52">
        <f>Table_dat150_[[#This Row],[Year]]+1/8+(Table_dat150_[[#This Row],[Quarter]]-1)/4</f>
        <v>1962.625</v>
      </c>
      <c r="E52">
        <f>Table_dat150_[[#This Row],[DecDate]]^2</f>
        <v>3851896.890625</v>
      </c>
      <c r="F52">
        <v>765</v>
      </c>
      <c r="G52" s="8">
        <f>LN(Table_dat150_[[#This Row],[Expenditure]])</f>
        <v>6.6398758338265358</v>
      </c>
      <c r="H52" s="9">
        <f t="shared" si="0"/>
        <v>-2.0486555697823303E-2</v>
      </c>
      <c r="I52" s="9">
        <f>(1+Table_dat150_[[#This Row],[gt]])^4 -1</f>
        <v>-7.9462245602751169E-2</v>
      </c>
      <c r="J52" s="9">
        <f>$V$18+$V$19*Table_dat150_[[#This Row],[DecDate]]</f>
        <v>749.12406703565102</v>
      </c>
      <c r="K52" s="9">
        <f>$V$37+$V$38*Table_dat150_[[#This Row],[DecDate]]+$V$39*Table_dat150_[[#This Row],[DecDate2]]</f>
        <v>751.31342876159761</v>
      </c>
      <c r="L52" s="9">
        <f>$AF$18+$AF$19*Table_dat150_[[#This Row],[DecDate]]</f>
        <v>6.6207934149665286</v>
      </c>
      <c r="M52" s="9">
        <f>$AF$37+$AF$38*Table_dat150_[[#This Row],[DecDate]]+$AF$39*Table_dat150_[[#This Row],[DecDate2]]</f>
        <v>6.6214351247907537</v>
      </c>
      <c r="N52" s="9">
        <f>Table_dat150_[[#This Row],[LogExpenditure]]-Table_dat150_[[#This Row],[Log Quadratic Trend]]</f>
        <v>1.8440709035782099E-2</v>
      </c>
      <c r="O52" s="9">
        <f t="shared" si="1"/>
        <v>-1.2439371873834659E-2</v>
      </c>
      <c r="P52" s="9">
        <f>Table_dat150_[[#This Row],[Log Quadratic Trend]]+Table_dat150_[[#This Row],[Cycle]]</f>
        <v>6.6089957529169192</v>
      </c>
      <c r="Q52" s="9">
        <f>Table_dat150_[[#This Row],[LogExpenditure]]-Table_dat150_[[#This Row],[Log Quadratic Trend]]-Table_dat150_[[#This Row],[Cycle]]</f>
        <v>3.0880080909616758E-2</v>
      </c>
      <c r="R52" s="9">
        <f>AVERAGEIF(Table_dat150_[Quarter], B52, Table_dat150_[High Frequency])</f>
        <v>3.7456808917954526E-2</v>
      </c>
      <c r="S52" s="9">
        <f>Table_dat150_[[#This Row],[S0]]-AVERAGE($R$6:$R$9)</f>
        <v>3.7550349586397608E-2</v>
      </c>
    </row>
    <row r="53" spans="1:19" x14ac:dyDescent="0.3">
      <c r="A53">
        <v>1962</v>
      </c>
      <c r="B53">
        <v>4</v>
      </c>
      <c r="C53" s="1">
        <f>DATE(Table_dat150_[[#This Row],[Year]],(Table_dat150_[[#This Row],[Quarter]]-1)*3+2,15)</f>
        <v>22965</v>
      </c>
      <c r="D53">
        <f>Table_dat150_[[#This Row],[Year]]+1/8+(Table_dat150_[[#This Row],[Quarter]]-1)/4</f>
        <v>1962.875</v>
      </c>
      <c r="E53">
        <f>Table_dat150_[[#This Row],[DecDate]]^2</f>
        <v>3852878.265625</v>
      </c>
      <c r="F53">
        <v>730</v>
      </c>
      <c r="G53" s="8">
        <f>LN(Table_dat150_[[#This Row],[Expenditure]])</f>
        <v>6.5930445341424369</v>
      </c>
      <c r="H53" s="9">
        <f t="shared" si="0"/>
        <v>-4.5751633986928102E-2</v>
      </c>
      <c r="I53" s="9">
        <f>(1+Table_dat150_[[#This Row],[gt]])^4 -1</f>
        <v>-0.17082595381574706</v>
      </c>
      <c r="J53" s="9">
        <f>$V$18+$V$19*Table_dat150_[[#This Row],[DecDate]]</f>
        <v>750.42972257947804</v>
      </c>
      <c r="K53" s="9">
        <f>$V$37+$V$38*Table_dat150_[[#This Row],[DecDate]]+$V$39*Table_dat150_[[#This Row],[DecDate2]]</f>
        <v>752.37773734350048</v>
      </c>
      <c r="L53" s="9">
        <f>$AF$18+$AF$19*Table_dat150_[[#This Row],[DecDate]]</f>
        <v>6.6222994437173055</v>
      </c>
      <c r="M53" s="9">
        <f>$AF$37+$AF$38*Table_dat150_[[#This Row],[DecDate]]+$AF$39*Table_dat150_[[#This Row],[DecDate2]]</f>
        <v>6.6228704138758658</v>
      </c>
      <c r="N53" s="9">
        <f>Table_dat150_[[#This Row],[LogExpenditure]]-Table_dat150_[[#This Row],[Log Quadratic Trend]]</f>
        <v>-2.9825879733428984E-2</v>
      </c>
      <c r="O53" s="9">
        <f t="shared" si="1"/>
        <v>1.2034734744712061E-2</v>
      </c>
      <c r="P53" s="9">
        <f>Table_dat150_[[#This Row],[Log Quadratic Trend]]+Table_dat150_[[#This Row],[Cycle]]</f>
        <v>6.6349051486205779</v>
      </c>
      <c r="Q53" s="9">
        <f>Table_dat150_[[#This Row],[LogExpenditure]]-Table_dat150_[[#This Row],[Log Quadratic Trend]]-Table_dat150_[[#This Row],[Cycle]]</f>
        <v>-4.1860614478141045E-2</v>
      </c>
      <c r="R53" s="9">
        <f>AVERAGEIF(Table_dat150_[Quarter], B53, Table_dat150_[High Frequency])</f>
        <v>-2.8472086212635514E-2</v>
      </c>
      <c r="S53" s="9">
        <f>Table_dat150_[[#This Row],[S0]]-AVERAGE($R$6:$R$9)</f>
        <v>-2.8378545544192432E-2</v>
      </c>
    </row>
    <row r="54" spans="1:19" x14ac:dyDescent="0.3">
      <c r="A54">
        <v>1963</v>
      </c>
      <c r="B54">
        <v>1</v>
      </c>
      <c r="C54" s="1">
        <f>DATE(Table_dat150_[[#This Row],[Year]],(Table_dat150_[[#This Row],[Quarter]]-1)*3+2,15)</f>
        <v>23057</v>
      </c>
      <c r="D54">
        <f>Table_dat150_[[#This Row],[Year]]+1/8+(Table_dat150_[[#This Row],[Quarter]]-1)/4</f>
        <v>1963.125</v>
      </c>
      <c r="E54">
        <f>Table_dat150_[[#This Row],[DecDate]]^2</f>
        <v>3853859.765625</v>
      </c>
      <c r="F54">
        <v>712</v>
      </c>
      <c r="G54" s="8">
        <f>LN(Table_dat150_[[#This Row],[Expenditure]])</f>
        <v>6.5680779114119758</v>
      </c>
      <c r="H54" s="9">
        <f t="shared" si="0"/>
        <v>-2.4657534246575342E-2</v>
      </c>
      <c r="I54" s="9">
        <f>(1+Table_dat150_[[#This Row],[gt]])^4 -1</f>
        <v>-9.5041769889902761E-2</v>
      </c>
      <c r="J54" s="9">
        <f>$V$18+$V$19*Table_dat150_[[#This Row],[DecDate]]</f>
        <v>751.73537812330505</v>
      </c>
      <c r="K54" s="9">
        <f>$V$37+$V$38*Table_dat150_[[#This Row],[DecDate]]+$V$39*Table_dat150_[[#This Row],[DecDate2]]</f>
        <v>753.44469808983558</v>
      </c>
      <c r="L54" s="9">
        <f>$AF$18+$AF$19*Table_dat150_[[#This Row],[DecDate]]</f>
        <v>6.6238054724680806</v>
      </c>
      <c r="M54" s="9">
        <f>$AF$37+$AF$38*Table_dat150_[[#This Row],[DecDate]]+$AF$39*Table_dat150_[[#This Row],[DecDate2]]</f>
        <v>6.624306480319941</v>
      </c>
      <c r="N54" s="9">
        <f>Table_dat150_[[#This Row],[LogExpenditure]]-Table_dat150_[[#This Row],[Log Quadratic Trend]]</f>
        <v>-5.6228568907965126E-2</v>
      </c>
      <c r="O54" s="9">
        <f t="shared" si="1"/>
        <v>1.4654574090739914E-2</v>
      </c>
      <c r="P54" s="9">
        <f>Table_dat150_[[#This Row],[Log Quadratic Trend]]+Table_dat150_[[#This Row],[Cycle]]</f>
        <v>6.6389610544106805</v>
      </c>
      <c r="Q54" s="9">
        <f>Table_dat150_[[#This Row],[LogExpenditure]]-Table_dat150_[[#This Row],[Log Quadratic Trend]]-Table_dat150_[[#This Row],[Cycle]]</f>
        <v>-7.0883142998705045E-2</v>
      </c>
      <c r="R54" s="9">
        <f>AVERAGEIF(Table_dat150_[Quarter], B54, Table_dat150_[High Frequency])</f>
        <v>-4.2281954239907563E-2</v>
      </c>
      <c r="S54" s="9">
        <f>Table_dat150_[[#This Row],[S0]]-AVERAGE($R$6:$R$9)</f>
        <v>-4.2188413571464481E-2</v>
      </c>
    </row>
    <row r="55" spans="1:19" x14ac:dyDescent="0.3">
      <c r="A55">
        <v>1963</v>
      </c>
      <c r="B55">
        <v>2</v>
      </c>
      <c r="C55" s="1">
        <f>DATE(Table_dat150_[[#This Row],[Year]],(Table_dat150_[[#This Row],[Quarter]]-1)*3+2,15)</f>
        <v>23146</v>
      </c>
      <c r="D55">
        <f>Table_dat150_[[#This Row],[Year]]+1/8+(Table_dat150_[[#This Row],[Quarter]]-1)/4</f>
        <v>1963.375</v>
      </c>
      <c r="E55">
        <f>Table_dat150_[[#This Row],[DecDate]]^2</f>
        <v>3854841.390625</v>
      </c>
      <c r="F55">
        <v>823</v>
      </c>
      <c r="G55" s="8">
        <f>LN(Table_dat150_[[#This Row],[Expenditure]])</f>
        <v>6.7129562006770698</v>
      </c>
      <c r="H55" s="9">
        <f t="shared" si="0"/>
        <v>0.15589887640449437</v>
      </c>
      <c r="I55" s="9">
        <f>(1+Table_dat150_[[#This Row],[gt]])^4 -1</f>
        <v>0.78516912217570711</v>
      </c>
      <c r="J55" s="9">
        <f>$V$18+$V$19*Table_dat150_[[#This Row],[DecDate]]</f>
        <v>753.04103366713025</v>
      </c>
      <c r="K55" s="9">
        <f>$V$37+$V$38*Table_dat150_[[#This Row],[DecDate]]+$V$39*Table_dat150_[[#This Row],[DecDate2]]</f>
        <v>754.51431100058835</v>
      </c>
      <c r="L55" s="9">
        <f>$AF$18+$AF$19*Table_dat150_[[#This Row],[DecDate]]</f>
        <v>6.6253115012188557</v>
      </c>
      <c r="M55" s="9">
        <f>$AF$37+$AF$38*Table_dat150_[[#This Row],[DecDate]]+$AF$39*Table_dat150_[[#This Row],[DecDate2]]</f>
        <v>6.6257433241229862</v>
      </c>
      <c r="N55" s="9">
        <f>Table_dat150_[[#This Row],[LogExpenditure]]-Table_dat150_[[#This Row],[Log Quadratic Trend]]</f>
        <v>8.7212876554083607E-2</v>
      </c>
      <c r="O55" s="9">
        <f t="shared" si="1"/>
        <v>6.8426885816105457E-3</v>
      </c>
      <c r="P55" s="9">
        <f>Table_dat150_[[#This Row],[Log Quadratic Trend]]+Table_dat150_[[#This Row],[Cycle]]</f>
        <v>6.6325860127045964</v>
      </c>
      <c r="Q55" s="9">
        <f>Table_dat150_[[#This Row],[LogExpenditure]]-Table_dat150_[[#This Row],[Log Quadratic Trend]]-Table_dat150_[[#This Row],[Cycle]]</f>
        <v>8.0370187972473056E-2</v>
      </c>
      <c r="R55" s="9">
        <f>AVERAGEIF(Table_dat150_[Quarter], B55, Table_dat150_[High Frequency])</f>
        <v>3.2923068860816217E-2</v>
      </c>
      <c r="S55" s="9">
        <f>Table_dat150_[[#This Row],[S0]]-AVERAGE($R$6:$R$9)</f>
        <v>3.3016609529259298E-2</v>
      </c>
    </row>
    <row r="56" spans="1:19" x14ac:dyDescent="0.3">
      <c r="A56">
        <v>1963</v>
      </c>
      <c r="B56">
        <v>3</v>
      </c>
      <c r="C56" s="1">
        <f>DATE(Table_dat150_[[#This Row],[Year]],(Table_dat150_[[#This Row],[Quarter]]-1)*3+2,15)</f>
        <v>23238</v>
      </c>
      <c r="D56">
        <f>Table_dat150_[[#This Row],[Year]]+1/8+(Table_dat150_[[#This Row],[Quarter]]-1)/4</f>
        <v>1963.625</v>
      </c>
      <c r="E56">
        <f>Table_dat150_[[#This Row],[DecDate]]^2</f>
        <v>3855823.140625</v>
      </c>
      <c r="F56">
        <v>797</v>
      </c>
      <c r="G56" s="8">
        <f>LN(Table_dat150_[[#This Row],[Expenditure]])</f>
        <v>6.6808546787902152</v>
      </c>
      <c r="H56" s="9">
        <f t="shared" si="0"/>
        <v>-3.1591737545565005E-2</v>
      </c>
      <c r="I56" s="9">
        <f>(1+Table_dat150_[[#This Row],[gt]])^4 -1</f>
        <v>-0.12050384581896767</v>
      </c>
      <c r="J56" s="9">
        <f>$V$18+$V$19*Table_dat150_[[#This Row],[DecDate]]</f>
        <v>754.34668921095727</v>
      </c>
      <c r="K56" s="9">
        <f>$V$37+$V$38*Table_dat150_[[#This Row],[DecDate]]+$V$39*Table_dat150_[[#This Row],[DecDate2]]</f>
        <v>755.58657607575879</v>
      </c>
      <c r="L56" s="9">
        <f>$AF$18+$AF$19*Table_dat150_[[#This Row],[DecDate]]</f>
        <v>6.6268175299696308</v>
      </c>
      <c r="M56" s="9">
        <f>$AF$37+$AF$38*Table_dat150_[[#This Row],[DecDate]]+$AF$39*Table_dat150_[[#This Row],[DecDate2]]</f>
        <v>6.6271809452849872</v>
      </c>
      <c r="N56" s="9">
        <f>Table_dat150_[[#This Row],[LogExpenditure]]-Table_dat150_[[#This Row],[Log Quadratic Trend]]</f>
        <v>5.3673733505227972E-2</v>
      </c>
      <c r="O56" s="9">
        <f t="shared" si="1"/>
        <v>7.8557447807595434E-3</v>
      </c>
      <c r="P56" s="9">
        <f>Table_dat150_[[#This Row],[Log Quadratic Trend]]+Table_dat150_[[#This Row],[Cycle]]</f>
        <v>6.6350366900657471</v>
      </c>
      <c r="Q56" s="9">
        <f>Table_dat150_[[#This Row],[LogExpenditure]]-Table_dat150_[[#This Row],[Log Quadratic Trend]]-Table_dat150_[[#This Row],[Cycle]]</f>
        <v>4.5817988724468427E-2</v>
      </c>
      <c r="R56" s="9">
        <f>AVERAGEIF(Table_dat150_[Quarter], B56, Table_dat150_[High Frequency])</f>
        <v>3.7456808917954526E-2</v>
      </c>
      <c r="S56" s="9">
        <f>Table_dat150_[[#This Row],[S0]]-AVERAGE($R$6:$R$9)</f>
        <v>3.7550349586397608E-2</v>
      </c>
    </row>
    <row r="57" spans="1:19" x14ac:dyDescent="0.3">
      <c r="A57">
        <v>1963</v>
      </c>
      <c r="B57">
        <v>4</v>
      </c>
      <c r="C57" s="1">
        <f>DATE(Table_dat150_[[#This Row],[Year]],(Table_dat150_[[#This Row],[Quarter]]-1)*3+2,15)</f>
        <v>23330</v>
      </c>
      <c r="D57">
        <f>Table_dat150_[[#This Row],[Year]]+1/8+(Table_dat150_[[#This Row],[Quarter]]-1)/4</f>
        <v>1963.875</v>
      </c>
      <c r="E57">
        <f>Table_dat150_[[#This Row],[DecDate]]^2</f>
        <v>3856805.015625</v>
      </c>
      <c r="F57">
        <v>741</v>
      </c>
      <c r="G57" s="8">
        <f>LN(Table_dat150_[[#This Row],[Expenditure]])</f>
        <v>6.6080006252960866</v>
      </c>
      <c r="H57" s="9">
        <f t="shared" si="0"/>
        <v>-7.0263488080301126E-2</v>
      </c>
      <c r="I57" s="9">
        <f>(1+Table_dat150_[[#This Row],[gt]])^4 -1</f>
        <v>-0.25279538371615129</v>
      </c>
      <c r="J57" s="9">
        <f>$V$18+$V$19*Table_dat150_[[#This Row],[DecDate]]</f>
        <v>755.65234475478428</v>
      </c>
      <c r="K57" s="9">
        <f>$V$37+$V$38*Table_dat150_[[#This Row],[DecDate]]+$V$39*Table_dat150_[[#This Row],[DecDate2]]</f>
        <v>756.66149331533234</v>
      </c>
      <c r="L57" s="9">
        <f>$AF$18+$AF$19*Table_dat150_[[#This Row],[DecDate]]</f>
        <v>6.6283235587204059</v>
      </c>
      <c r="M57" s="9">
        <f>$AF$37+$AF$38*Table_dat150_[[#This Row],[DecDate]]+$AF$39*Table_dat150_[[#This Row],[DecDate2]]</f>
        <v>6.6286193438059513</v>
      </c>
      <c r="N57" s="9">
        <f>Table_dat150_[[#This Row],[LogExpenditure]]-Table_dat150_[[#This Row],[Log Quadratic Trend]]</f>
        <v>-2.0618718509864742E-2</v>
      </c>
      <c r="O57" s="9">
        <f t="shared" si="1"/>
        <v>3.0472706766749801E-2</v>
      </c>
      <c r="P57" s="9">
        <f>Table_dat150_[[#This Row],[Log Quadratic Trend]]+Table_dat150_[[#This Row],[Cycle]]</f>
        <v>6.6590920505727009</v>
      </c>
      <c r="Q57" s="9">
        <f>Table_dat150_[[#This Row],[LogExpenditure]]-Table_dat150_[[#This Row],[Log Quadratic Trend]]-Table_dat150_[[#This Row],[Cycle]]</f>
        <v>-5.1091425276614547E-2</v>
      </c>
      <c r="R57" s="9">
        <f>AVERAGEIF(Table_dat150_[Quarter], B57, Table_dat150_[High Frequency])</f>
        <v>-2.8472086212635514E-2</v>
      </c>
      <c r="S57" s="9">
        <f>Table_dat150_[[#This Row],[S0]]-AVERAGE($R$6:$R$9)</f>
        <v>-2.8378545544192432E-2</v>
      </c>
    </row>
    <row r="58" spans="1:19" x14ac:dyDescent="0.3">
      <c r="A58">
        <v>1964</v>
      </c>
      <c r="B58">
        <v>1</v>
      </c>
      <c r="C58" s="1">
        <f>DATE(Table_dat150_[[#This Row],[Year]],(Table_dat150_[[#This Row],[Quarter]]-1)*3+2,15)</f>
        <v>23422</v>
      </c>
      <c r="D58">
        <f>Table_dat150_[[#This Row],[Year]]+1/8+(Table_dat150_[[#This Row],[Quarter]]-1)/4</f>
        <v>1964.125</v>
      </c>
      <c r="E58">
        <f>Table_dat150_[[#This Row],[DecDate]]^2</f>
        <v>3857787.015625</v>
      </c>
      <c r="F58">
        <v>739</v>
      </c>
      <c r="G58" s="8">
        <f>LN(Table_dat150_[[#This Row],[Expenditure]])</f>
        <v>6.6052979209482015</v>
      </c>
      <c r="H58" s="9">
        <f t="shared" si="0"/>
        <v>-2.6990553306342779E-3</v>
      </c>
      <c r="I58" s="9">
        <f>(1+Table_dat150_[[#This Row],[gt]])^4 -1</f>
        <v>-1.0752590520789695E-2</v>
      </c>
      <c r="J58" s="9">
        <f>$V$18+$V$19*Table_dat150_[[#This Row],[DecDate]]</f>
        <v>756.9580002986113</v>
      </c>
      <c r="K58" s="9">
        <f>$V$37+$V$38*Table_dat150_[[#This Row],[DecDate]]+$V$39*Table_dat150_[[#This Row],[DecDate2]]</f>
        <v>757.739062719309</v>
      </c>
      <c r="L58" s="9">
        <f>$AF$18+$AF$19*Table_dat150_[[#This Row],[DecDate]]</f>
        <v>6.629829587471181</v>
      </c>
      <c r="M58" s="9">
        <f>$AF$37+$AF$38*Table_dat150_[[#This Row],[DecDate]]+$AF$39*Table_dat150_[[#This Row],[DecDate2]]</f>
        <v>6.6300585196858854</v>
      </c>
      <c r="N58" s="9">
        <f>Table_dat150_[[#This Row],[LogExpenditure]]-Table_dat150_[[#This Row],[Log Quadratic Trend]]</f>
        <v>-2.4760598737683992E-2</v>
      </c>
      <c r="O58" s="9">
        <f t="shared" si="1"/>
        <v>1.8301074688134199E-2</v>
      </c>
      <c r="P58" s="9">
        <f>Table_dat150_[[#This Row],[Log Quadratic Trend]]+Table_dat150_[[#This Row],[Cycle]]</f>
        <v>6.6483595943740195</v>
      </c>
      <c r="Q58" s="9">
        <f>Table_dat150_[[#This Row],[LogExpenditure]]-Table_dat150_[[#This Row],[Log Quadratic Trend]]-Table_dat150_[[#This Row],[Cycle]]</f>
        <v>-4.3061673425818195E-2</v>
      </c>
      <c r="R58" s="9">
        <f>AVERAGEIF(Table_dat150_[Quarter], B58, Table_dat150_[High Frequency])</f>
        <v>-4.2281954239907563E-2</v>
      </c>
      <c r="S58" s="9">
        <f>Table_dat150_[[#This Row],[S0]]-AVERAGE($R$6:$R$9)</f>
        <v>-4.2188413571464481E-2</v>
      </c>
    </row>
    <row r="59" spans="1:19" x14ac:dyDescent="0.3">
      <c r="A59">
        <v>1964</v>
      </c>
      <c r="B59">
        <v>2</v>
      </c>
      <c r="C59" s="1">
        <f>DATE(Table_dat150_[[#This Row],[Year]],(Table_dat150_[[#This Row],[Quarter]]-1)*3+2,15)</f>
        <v>23512</v>
      </c>
      <c r="D59">
        <f>Table_dat150_[[#This Row],[Year]]+1/8+(Table_dat150_[[#This Row],[Quarter]]-1)/4</f>
        <v>1964.375</v>
      </c>
      <c r="E59">
        <f>Table_dat150_[[#This Row],[DecDate]]^2</f>
        <v>3858769.140625</v>
      </c>
      <c r="F59">
        <v>803</v>
      </c>
      <c r="G59" s="8">
        <f>LN(Table_dat150_[[#This Row],[Expenditure]])</f>
        <v>6.6883547139467616</v>
      </c>
      <c r="H59" s="9">
        <f t="shared" si="0"/>
        <v>8.6603518267929641E-2</v>
      </c>
      <c r="I59" s="9">
        <f>(1+Table_dat150_[[#This Row],[gt]])^4 -1</f>
        <v>0.39406950609309566</v>
      </c>
      <c r="J59" s="9">
        <f>$V$18+$V$19*Table_dat150_[[#This Row],[DecDate]]</f>
        <v>758.26365584243649</v>
      </c>
      <c r="K59" s="9">
        <f>$V$37+$V$38*Table_dat150_[[#This Row],[DecDate]]+$V$39*Table_dat150_[[#This Row],[DecDate2]]</f>
        <v>758.81928428771789</v>
      </c>
      <c r="L59" s="9">
        <f>$AF$18+$AF$19*Table_dat150_[[#This Row],[DecDate]]</f>
        <v>6.6313356162219579</v>
      </c>
      <c r="M59" s="9">
        <f>$AF$37+$AF$38*Table_dat150_[[#This Row],[DecDate]]+$AF$39*Table_dat150_[[#This Row],[DecDate2]]</f>
        <v>6.6314984729247755</v>
      </c>
      <c r="N59" s="9">
        <f>Table_dat150_[[#This Row],[LogExpenditure]]-Table_dat150_[[#This Row],[Log Quadratic Trend]]</f>
        <v>5.6856241021986165E-2</v>
      </c>
      <c r="O59" s="9">
        <f t="shared" si="1"/>
        <v>6.6428553376631785E-4</v>
      </c>
      <c r="P59" s="9">
        <f>Table_dat150_[[#This Row],[Log Quadratic Trend]]+Table_dat150_[[#This Row],[Cycle]]</f>
        <v>6.6321627584585414</v>
      </c>
      <c r="Q59" s="9">
        <f>Table_dat150_[[#This Row],[LogExpenditure]]-Table_dat150_[[#This Row],[Log Quadratic Trend]]-Table_dat150_[[#This Row],[Cycle]]</f>
        <v>5.6191955488219848E-2</v>
      </c>
      <c r="R59" s="9">
        <f>AVERAGEIF(Table_dat150_[Quarter], B59, Table_dat150_[High Frequency])</f>
        <v>3.2923068860816217E-2</v>
      </c>
      <c r="S59" s="9">
        <f>Table_dat150_[[#This Row],[S0]]-AVERAGE($R$6:$R$9)</f>
        <v>3.3016609529259298E-2</v>
      </c>
    </row>
    <row r="60" spans="1:19" x14ac:dyDescent="0.3">
      <c r="A60">
        <v>1964</v>
      </c>
      <c r="B60">
        <v>3</v>
      </c>
      <c r="C60" s="1">
        <f>DATE(Table_dat150_[[#This Row],[Year]],(Table_dat150_[[#This Row],[Quarter]]-1)*3+2,15)</f>
        <v>23604</v>
      </c>
      <c r="D60">
        <f>Table_dat150_[[#This Row],[Year]]+1/8+(Table_dat150_[[#This Row],[Quarter]]-1)/4</f>
        <v>1964.625</v>
      </c>
      <c r="E60">
        <f>Table_dat150_[[#This Row],[DecDate]]^2</f>
        <v>3859751.390625</v>
      </c>
      <c r="F60">
        <v>780</v>
      </c>
      <c r="G60" s="8">
        <f>LN(Table_dat150_[[#This Row],[Expenditure]])</f>
        <v>6.6592939196836376</v>
      </c>
      <c r="H60" s="9">
        <f t="shared" si="0"/>
        <v>-2.8642590286425903E-2</v>
      </c>
      <c r="I60" s="9">
        <f>(1+Table_dat150_[[#This Row],[gt]])^4 -1</f>
        <v>-0.10974129351562345</v>
      </c>
      <c r="J60" s="9">
        <f>$V$18+$V$19*Table_dat150_[[#This Row],[DecDate]]</f>
        <v>759.56931138626351</v>
      </c>
      <c r="K60" s="9">
        <f>$V$37+$V$38*Table_dat150_[[#This Row],[DecDate]]+$V$39*Table_dat150_[[#This Row],[DecDate2]]</f>
        <v>759.902158020559</v>
      </c>
      <c r="L60" s="9">
        <f>$AF$18+$AF$19*Table_dat150_[[#This Row],[DecDate]]</f>
        <v>6.632841644972733</v>
      </c>
      <c r="M60" s="9">
        <f>$AF$37+$AF$38*Table_dat150_[[#This Row],[DecDate]]+$AF$39*Table_dat150_[[#This Row],[DecDate2]]</f>
        <v>6.632939203522632</v>
      </c>
      <c r="N60" s="9">
        <f>Table_dat150_[[#This Row],[LogExpenditure]]-Table_dat150_[[#This Row],[Log Quadratic Trend]]</f>
        <v>2.6354716161005598E-2</v>
      </c>
      <c r="O60" s="9">
        <f t="shared" si="1"/>
        <v>-7.7644506409093597E-4</v>
      </c>
      <c r="P60" s="9">
        <f>Table_dat150_[[#This Row],[Log Quadratic Trend]]+Table_dat150_[[#This Row],[Cycle]]</f>
        <v>6.6321627584585414</v>
      </c>
      <c r="Q60" s="9">
        <f>Table_dat150_[[#This Row],[LogExpenditure]]-Table_dat150_[[#This Row],[Log Quadratic Trend]]-Table_dat150_[[#This Row],[Cycle]]</f>
        <v>2.7131161225096533E-2</v>
      </c>
      <c r="R60" s="9">
        <f>AVERAGEIF(Table_dat150_[Quarter], B60, Table_dat150_[High Frequency])</f>
        <v>3.7456808917954526E-2</v>
      </c>
      <c r="S60" s="9">
        <f>Table_dat150_[[#This Row],[S0]]-AVERAGE($R$6:$R$9)</f>
        <v>3.7550349586397608E-2</v>
      </c>
    </row>
    <row r="61" spans="1:19" x14ac:dyDescent="0.3">
      <c r="A61">
        <v>1964</v>
      </c>
      <c r="B61">
        <v>4</v>
      </c>
      <c r="C61" s="1">
        <f>DATE(Table_dat150_[[#This Row],[Year]],(Table_dat150_[[#This Row],[Quarter]]-1)*3+2,15)</f>
        <v>23696</v>
      </c>
      <c r="D61">
        <f>Table_dat150_[[#This Row],[Year]]+1/8+(Table_dat150_[[#This Row],[Quarter]]-1)/4</f>
        <v>1964.875</v>
      </c>
      <c r="E61">
        <f>Table_dat150_[[#This Row],[DecDate]]^2</f>
        <v>3860733.765625</v>
      </c>
      <c r="F61">
        <v>735</v>
      </c>
      <c r="G61" s="8">
        <f>LN(Table_dat150_[[#This Row],[Expenditure]])</f>
        <v>6.5998704992128365</v>
      </c>
      <c r="H61" s="9">
        <f t="shared" si="0"/>
        <v>-5.7692307692307696E-2</v>
      </c>
      <c r="I61" s="9">
        <f>(1+Table_dat150_[[#This Row],[gt]])^4 -1</f>
        <v>-0.21155583115962329</v>
      </c>
      <c r="J61" s="9">
        <f>$V$18+$V$19*Table_dat150_[[#This Row],[DecDate]]</f>
        <v>760.87496693009052</v>
      </c>
      <c r="K61" s="9">
        <f>$V$37+$V$38*Table_dat150_[[#This Row],[DecDate]]+$V$39*Table_dat150_[[#This Row],[DecDate2]]</f>
        <v>760.98768391780322</v>
      </c>
      <c r="L61" s="9">
        <f>$AF$18+$AF$19*Table_dat150_[[#This Row],[DecDate]]</f>
        <v>6.6343476737235081</v>
      </c>
      <c r="M61" s="9">
        <f>$AF$37+$AF$38*Table_dat150_[[#This Row],[DecDate]]+$AF$39*Table_dat150_[[#This Row],[DecDate2]]</f>
        <v>6.634380711479448</v>
      </c>
      <c r="N61" s="9">
        <f>Table_dat150_[[#This Row],[LogExpenditure]]-Table_dat150_[[#This Row],[Log Quadratic Trend]]</f>
        <v>-3.451021226661144E-2</v>
      </c>
      <c r="O61" s="9">
        <f t="shared" si="1"/>
        <v>1.5387196443439066E-2</v>
      </c>
      <c r="P61" s="9">
        <f>Table_dat150_[[#This Row],[Log Quadratic Trend]]+Table_dat150_[[#This Row],[Cycle]]</f>
        <v>6.6497679079228869</v>
      </c>
      <c r="Q61" s="9">
        <f>Table_dat150_[[#This Row],[LogExpenditure]]-Table_dat150_[[#This Row],[Log Quadratic Trend]]-Table_dat150_[[#This Row],[Cycle]]</f>
        <v>-4.9897408710050509E-2</v>
      </c>
      <c r="R61" s="9">
        <f>AVERAGEIF(Table_dat150_[Quarter], B61, Table_dat150_[High Frequency])</f>
        <v>-2.8472086212635514E-2</v>
      </c>
      <c r="S61" s="9">
        <f>Table_dat150_[[#This Row],[S0]]-AVERAGE($R$6:$R$9)</f>
        <v>-2.8378545544192432E-2</v>
      </c>
    </row>
    <row r="62" spans="1:19" x14ac:dyDescent="0.3">
      <c r="A62">
        <v>1965</v>
      </c>
      <c r="B62">
        <v>1</v>
      </c>
      <c r="C62" s="1">
        <f>DATE(Table_dat150_[[#This Row],[Year]],(Table_dat150_[[#This Row],[Quarter]]-1)*3+2,15)</f>
        <v>23788</v>
      </c>
      <c r="D62">
        <f>Table_dat150_[[#This Row],[Year]]+1/8+(Table_dat150_[[#This Row],[Quarter]]-1)/4</f>
        <v>1965.125</v>
      </c>
      <c r="E62">
        <f>Table_dat150_[[#This Row],[DecDate]]^2</f>
        <v>3861716.265625</v>
      </c>
      <c r="F62">
        <v>741</v>
      </c>
      <c r="G62" s="8">
        <f>LN(Table_dat150_[[#This Row],[Expenditure]])</f>
        <v>6.6080006252960866</v>
      </c>
      <c r="H62" s="9">
        <f t="shared" si="0"/>
        <v>8.1632653061224497E-3</v>
      </c>
      <c r="I62" s="9">
        <f>(1+Table_dat150_[[#This Row],[gt]])^4 -1</f>
        <v>3.3055075032078829E-2</v>
      </c>
      <c r="J62" s="9">
        <f>$V$18+$V$19*Table_dat150_[[#This Row],[DecDate]]</f>
        <v>762.18062247391572</v>
      </c>
      <c r="K62" s="9">
        <f>$V$37+$V$38*Table_dat150_[[#This Row],[DecDate]]+$V$39*Table_dat150_[[#This Row],[DecDate2]]</f>
        <v>762.07586197946512</v>
      </c>
      <c r="L62" s="9">
        <f>$AF$18+$AF$19*Table_dat150_[[#This Row],[DecDate]]</f>
        <v>6.6358537024742832</v>
      </c>
      <c r="M62" s="9">
        <f>$AF$37+$AF$38*Table_dat150_[[#This Row],[DecDate]]+$AF$39*Table_dat150_[[#This Row],[DecDate2]]</f>
        <v>6.6358229967952376</v>
      </c>
      <c r="N62" s="9">
        <f>Table_dat150_[[#This Row],[LogExpenditure]]-Table_dat150_[[#This Row],[Log Quadratic Trend]]</f>
        <v>-2.7822371499151011E-2</v>
      </c>
      <c r="O62" s="9">
        <f t="shared" si="1"/>
        <v>1.444242382201626E-2</v>
      </c>
      <c r="P62" s="9">
        <f>Table_dat150_[[#This Row],[Log Quadratic Trend]]+Table_dat150_[[#This Row],[Cycle]]</f>
        <v>6.650265420617254</v>
      </c>
      <c r="Q62" s="9">
        <f>Table_dat150_[[#This Row],[LogExpenditure]]-Table_dat150_[[#This Row],[Log Quadratic Trend]]-Table_dat150_[[#This Row],[Cycle]]</f>
        <v>-4.2264795321167267E-2</v>
      </c>
      <c r="R62" s="9">
        <f>AVERAGEIF(Table_dat150_[Quarter], B62, Table_dat150_[High Frequency])</f>
        <v>-4.2281954239907563E-2</v>
      </c>
      <c r="S62" s="9">
        <f>Table_dat150_[[#This Row],[S0]]-AVERAGE($R$6:$R$9)</f>
        <v>-4.2188413571464481E-2</v>
      </c>
    </row>
    <row r="63" spans="1:19" x14ac:dyDescent="0.3">
      <c r="A63">
        <v>1965</v>
      </c>
      <c r="B63">
        <v>2</v>
      </c>
      <c r="C63" s="1">
        <f>DATE(Table_dat150_[[#This Row],[Year]],(Table_dat150_[[#This Row],[Quarter]]-1)*3+2,15)</f>
        <v>23877</v>
      </c>
      <c r="D63">
        <f>Table_dat150_[[#This Row],[Year]]+1/8+(Table_dat150_[[#This Row],[Quarter]]-1)/4</f>
        <v>1965.375</v>
      </c>
      <c r="E63">
        <f>Table_dat150_[[#This Row],[DecDate]]^2</f>
        <v>3862698.890625</v>
      </c>
      <c r="F63">
        <v>807</v>
      </c>
      <c r="G63" s="8">
        <f>LN(Table_dat150_[[#This Row],[Expenditure]])</f>
        <v>6.6933236682699491</v>
      </c>
      <c r="H63" s="9">
        <f t="shared" si="0"/>
        <v>8.9068825910931168E-2</v>
      </c>
      <c r="I63" s="9">
        <f>(1+Table_dat150_[[#This Row],[gt]])^4 -1</f>
        <v>0.406764197786329</v>
      </c>
      <c r="J63" s="9">
        <f>$V$18+$V$19*Table_dat150_[[#This Row],[DecDate]]</f>
        <v>763.48627801774273</v>
      </c>
      <c r="K63" s="9">
        <f>$V$37+$V$38*Table_dat150_[[#This Row],[DecDate]]+$V$39*Table_dat150_[[#This Row],[DecDate2]]</f>
        <v>763.16669220555923</v>
      </c>
      <c r="L63" s="9">
        <f>$AF$18+$AF$19*Table_dat150_[[#This Row],[DecDate]]</f>
        <v>6.6373597312250583</v>
      </c>
      <c r="M63" s="9">
        <f>$AF$37+$AF$38*Table_dat150_[[#This Row],[DecDate]]+$AF$39*Table_dat150_[[#This Row],[DecDate2]]</f>
        <v>6.637266059469983</v>
      </c>
      <c r="N63" s="9">
        <f>Table_dat150_[[#This Row],[LogExpenditure]]-Table_dat150_[[#This Row],[Log Quadratic Trend]]</f>
        <v>5.6057608799966019E-2</v>
      </c>
      <c r="O63" s="9">
        <f t="shared" si="1"/>
        <v>1.3255607178478356E-2</v>
      </c>
      <c r="P63" s="9">
        <f>Table_dat150_[[#This Row],[Log Quadratic Trend]]+Table_dat150_[[#This Row],[Cycle]]</f>
        <v>6.6505216666484612</v>
      </c>
      <c r="Q63" s="9">
        <f>Table_dat150_[[#This Row],[LogExpenditure]]-Table_dat150_[[#This Row],[Log Quadratic Trend]]-Table_dat150_[[#This Row],[Cycle]]</f>
        <v>4.2802001621487659E-2</v>
      </c>
      <c r="R63" s="9">
        <f>AVERAGEIF(Table_dat150_[Quarter], B63, Table_dat150_[High Frequency])</f>
        <v>3.2923068860816217E-2</v>
      </c>
      <c r="S63" s="9">
        <f>Table_dat150_[[#This Row],[S0]]-AVERAGE($R$6:$R$9)</f>
        <v>3.3016609529259298E-2</v>
      </c>
    </row>
    <row r="64" spans="1:19" x14ac:dyDescent="0.3">
      <c r="A64">
        <v>1965</v>
      </c>
      <c r="B64">
        <v>3</v>
      </c>
      <c r="C64" s="1">
        <f>DATE(Table_dat150_[[#This Row],[Year]],(Table_dat150_[[#This Row],[Quarter]]-1)*3+2,15)</f>
        <v>23969</v>
      </c>
      <c r="D64">
        <f>Table_dat150_[[#This Row],[Year]]+1/8+(Table_dat150_[[#This Row],[Quarter]]-1)/4</f>
        <v>1965.625</v>
      </c>
      <c r="E64">
        <f>Table_dat150_[[#This Row],[DecDate]]^2</f>
        <v>3863681.640625</v>
      </c>
      <c r="F64">
        <v>805</v>
      </c>
      <c r="G64" s="8">
        <f>LN(Table_dat150_[[#This Row],[Expenditure]])</f>
        <v>6.6908422774185636</v>
      </c>
      <c r="H64" s="9">
        <f t="shared" si="0"/>
        <v>-2.4783147459727386E-3</v>
      </c>
      <c r="I64" s="9">
        <f>(1+Table_dat150_[[#This Row],[gt]])^4 -1</f>
        <v>-9.8764675699581916E-3</v>
      </c>
      <c r="J64" s="9">
        <f>$V$18+$V$19*Table_dat150_[[#This Row],[DecDate]]</f>
        <v>764.79193356156975</v>
      </c>
      <c r="K64" s="9">
        <f>$V$37+$V$38*Table_dat150_[[#This Row],[DecDate]]+$V$39*Table_dat150_[[#This Row],[DecDate2]]</f>
        <v>764.26017459602735</v>
      </c>
      <c r="L64" s="9">
        <f>$AF$18+$AF$19*Table_dat150_[[#This Row],[DecDate]]</f>
        <v>6.6388657599758334</v>
      </c>
      <c r="M64" s="9">
        <f>$AF$37+$AF$38*Table_dat150_[[#This Row],[DecDate]]+$AF$39*Table_dat150_[[#This Row],[DecDate2]]</f>
        <v>6.6387098995036915</v>
      </c>
      <c r="N64" s="9">
        <f>Table_dat150_[[#This Row],[LogExpenditure]]-Table_dat150_[[#This Row],[Log Quadratic Trend]]</f>
        <v>5.213237791487213E-2</v>
      </c>
      <c r="O64" s="9">
        <f t="shared" si="1"/>
        <v>1.5050704328763232E-2</v>
      </c>
      <c r="P64" s="9">
        <f>Table_dat150_[[#This Row],[Log Quadratic Trend]]+Table_dat150_[[#This Row],[Cycle]]</f>
        <v>6.6537606038324544</v>
      </c>
      <c r="Q64" s="9">
        <f>Table_dat150_[[#This Row],[LogExpenditure]]-Table_dat150_[[#This Row],[Log Quadratic Trend]]-Table_dat150_[[#This Row],[Cycle]]</f>
        <v>3.70816735861089E-2</v>
      </c>
      <c r="R64" s="9">
        <f>AVERAGEIF(Table_dat150_[Quarter], B64, Table_dat150_[High Frequency])</f>
        <v>3.7456808917954526E-2</v>
      </c>
      <c r="S64" s="9">
        <f>Table_dat150_[[#This Row],[S0]]-AVERAGE($R$6:$R$9)</f>
        <v>3.7550349586397608E-2</v>
      </c>
    </row>
    <row r="65" spans="1:19" x14ac:dyDescent="0.3">
      <c r="A65">
        <v>1965</v>
      </c>
      <c r="B65">
        <v>4</v>
      </c>
      <c r="C65" s="1">
        <f>DATE(Table_dat150_[[#This Row],[Year]],(Table_dat150_[[#This Row],[Quarter]]-1)*3+2,15)</f>
        <v>24061</v>
      </c>
      <c r="D65">
        <f>Table_dat150_[[#This Row],[Year]]+1/8+(Table_dat150_[[#This Row],[Quarter]]-1)/4</f>
        <v>1965.875</v>
      </c>
      <c r="E65">
        <f>Table_dat150_[[#This Row],[DecDate]]^2</f>
        <v>3864664.515625</v>
      </c>
      <c r="F65">
        <v>781</v>
      </c>
      <c r="G65" s="8">
        <f>LN(Table_dat150_[[#This Row],[Expenditure]])</f>
        <v>6.6605751498396861</v>
      </c>
      <c r="H65" s="9">
        <f t="shared" si="0"/>
        <v>-2.9813664596273291E-2</v>
      </c>
      <c r="I65" s="9">
        <f>(1+Table_dat150_[[#This Row],[gt]])^4 -1</f>
        <v>-0.11402674079392339</v>
      </c>
      <c r="J65" s="9">
        <f>$V$18+$V$19*Table_dat150_[[#This Row],[DecDate]]</f>
        <v>766.09758910539495</v>
      </c>
      <c r="K65" s="9">
        <f>$V$37+$V$38*Table_dat150_[[#This Row],[DecDate]]+$V$39*Table_dat150_[[#This Row],[DecDate2]]</f>
        <v>765.35630915094225</v>
      </c>
      <c r="L65" s="9">
        <f>$AF$18+$AF$19*Table_dat150_[[#This Row],[DecDate]]</f>
        <v>6.6403717887266103</v>
      </c>
      <c r="M65" s="9">
        <f>$AF$37+$AF$38*Table_dat150_[[#This Row],[DecDate]]+$AF$39*Table_dat150_[[#This Row],[DecDate2]]</f>
        <v>6.64015451689637</v>
      </c>
      <c r="N65" s="9">
        <f>Table_dat150_[[#This Row],[LogExpenditure]]-Table_dat150_[[#This Row],[Log Quadratic Trend]]</f>
        <v>2.0420632943316086E-2</v>
      </c>
      <c r="O65" s="9">
        <f t="shared" si="1"/>
        <v>3.6531920847962772E-2</v>
      </c>
      <c r="P65" s="9">
        <f>Table_dat150_[[#This Row],[Log Quadratic Trend]]+Table_dat150_[[#This Row],[Cycle]]</f>
        <v>6.6766864377443325</v>
      </c>
      <c r="Q65" s="9">
        <f>Table_dat150_[[#This Row],[LogExpenditure]]-Table_dat150_[[#This Row],[Log Quadratic Trend]]-Table_dat150_[[#This Row],[Cycle]]</f>
        <v>-1.6111287904646686E-2</v>
      </c>
      <c r="R65" s="9">
        <f>AVERAGEIF(Table_dat150_[Quarter], B65, Table_dat150_[High Frequency])</f>
        <v>-2.8472086212635514E-2</v>
      </c>
      <c r="S65" s="9">
        <f>Table_dat150_[[#This Row],[S0]]-AVERAGE($R$6:$R$9)</f>
        <v>-2.8378545544192432E-2</v>
      </c>
    </row>
    <row r="66" spans="1:19" x14ac:dyDescent="0.3">
      <c r="A66">
        <v>1966</v>
      </c>
      <c r="B66">
        <v>1</v>
      </c>
      <c r="C66" s="1">
        <f>DATE(Table_dat150_[[#This Row],[Year]],(Table_dat150_[[#This Row],[Quarter]]-1)*3+2,15)</f>
        <v>24153</v>
      </c>
      <c r="D66">
        <f>Table_dat150_[[#This Row],[Year]]+1/8+(Table_dat150_[[#This Row],[Quarter]]-1)/4</f>
        <v>1966.125</v>
      </c>
      <c r="E66">
        <f>Table_dat150_[[#This Row],[DecDate]]^2</f>
        <v>3865647.515625</v>
      </c>
      <c r="F66">
        <v>747</v>
      </c>
      <c r="G66" s="8">
        <f>LN(Table_dat150_[[#This Row],[Expenditure]])</f>
        <v>6.6160651851328174</v>
      </c>
      <c r="H66" s="9">
        <f t="shared" si="0"/>
        <v>-4.353393085787452E-2</v>
      </c>
      <c r="I66" s="9">
        <f>(1+Table_dat150_[[#This Row],[gt]])^4 -1</f>
        <v>-0.16309093539006858</v>
      </c>
      <c r="J66" s="9">
        <f>$V$18+$V$19*Table_dat150_[[#This Row],[DecDate]]</f>
        <v>767.40324464922196</v>
      </c>
      <c r="K66" s="9">
        <f>$V$37+$V$38*Table_dat150_[[#This Row],[DecDate]]+$V$39*Table_dat150_[[#This Row],[DecDate2]]</f>
        <v>766.45509587027482</v>
      </c>
      <c r="L66" s="9">
        <f>$AF$18+$AF$19*Table_dat150_[[#This Row],[DecDate]]</f>
        <v>6.6418778174773854</v>
      </c>
      <c r="M66" s="9">
        <f>$AF$37+$AF$38*Table_dat150_[[#This Row],[DecDate]]+$AF$39*Table_dat150_[[#This Row],[DecDate2]]</f>
        <v>6.6415999116480045</v>
      </c>
      <c r="N66" s="9">
        <f>Table_dat150_[[#This Row],[LogExpenditure]]-Table_dat150_[[#This Row],[Log Quadratic Trend]]</f>
        <v>-2.5534726515187067E-2</v>
      </c>
      <c r="O66" s="9">
        <f t="shared" si="1"/>
        <v>4.0947751413425416E-2</v>
      </c>
      <c r="P66" s="9">
        <f>Table_dat150_[[#This Row],[Log Quadratic Trend]]+Table_dat150_[[#This Row],[Cycle]]</f>
        <v>6.6825476630614302</v>
      </c>
      <c r="Q66" s="9">
        <f>Table_dat150_[[#This Row],[LogExpenditure]]-Table_dat150_[[#This Row],[Log Quadratic Trend]]-Table_dat150_[[#This Row],[Cycle]]</f>
        <v>-6.6482477928612477E-2</v>
      </c>
      <c r="R66" s="9">
        <f>AVERAGEIF(Table_dat150_[Quarter], B66, Table_dat150_[High Frequency])</f>
        <v>-4.2281954239907563E-2</v>
      </c>
      <c r="S66" s="9">
        <f>Table_dat150_[[#This Row],[S0]]-AVERAGE($R$6:$R$9)</f>
        <v>-4.2188413571464481E-2</v>
      </c>
    </row>
    <row r="67" spans="1:19" x14ac:dyDescent="0.3">
      <c r="A67">
        <v>1966</v>
      </c>
      <c r="B67">
        <v>2</v>
      </c>
      <c r="C67" s="1">
        <f>DATE(Table_dat150_[[#This Row],[Year]],(Table_dat150_[[#This Row],[Quarter]]-1)*3+2,15)</f>
        <v>24242</v>
      </c>
      <c r="D67">
        <f>Table_dat150_[[#This Row],[Year]]+1/8+(Table_dat150_[[#This Row],[Quarter]]-1)/4</f>
        <v>1966.375</v>
      </c>
      <c r="E67">
        <f>Table_dat150_[[#This Row],[DecDate]]^2</f>
        <v>3866630.640625</v>
      </c>
      <c r="F67">
        <v>831</v>
      </c>
      <c r="G67" s="8">
        <f>LN(Table_dat150_[[#This Row],[Expenditure]])</f>
        <v>6.7226297948554485</v>
      </c>
      <c r="H67" s="9">
        <f t="shared" ref="H67:H130" si="2">(F67-F66)/F66</f>
        <v>0.11244979919678715</v>
      </c>
      <c r="I67" s="9">
        <f>(1+Table_dat150_[[#This Row],[gt]])^4 -1</f>
        <v>0.53151652742431965</v>
      </c>
      <c r="J67" s="9">
        <f>$V$18+$V$19*Table_dat150_[[#This Row],[DecDate]]</f>
        <v>768.70890019304898</v>
      </c>
      <c r="K67" s="9">
        <f>$V$37+$V$38*Table_dat150_[[#This Row],[DecDate]]+$V$39*Table_dat150_[[#This Row],[DecDate2]]</f>
        <v>767.55653475402505</v>
      </c>
      <c r="L67" s="9">
        <f>$AF$18+$AF$19*Table_dat150_[[#This Row],[DecDate]]</f>
        <v>6.6433838462281605</v>
      </c>
      <c r="M67" s="9">
        <f>$AF$37+$AF$38*Table_dat150_[[#This Row],[DecDate]]+$AF$39*Table_dat150_[[#This Row],[DecDate2]]</f>
        <v>6.6430460837586018</v>
      </c>
      <c r="N67" s="9">
        <f>Table_dat150_[[#This Row],[LogExpenditure]]-Table_dat150_[[#This Row],[Log Quadratic Trend]]</f>
        <v>7.9583711096846699E-2</v>
      </c>
      <c r="O67" s="9">
        <f t="shared" si="1"/>
        <v>2.3472332762664295E-2</v>
      </c>
      <c r="P67" s="9">
        <f>Table_dat150_[[#This Row],[Log Quadratic Trend]]+Table_dat150_[[#This Row],[Cycle]]</f>
        <v>6.6665184165212663</v>
      </c>
      <c r="Q67" s="9">
        <f>Table_dat150_[[#This Row],[LogExpenditure]]-Table_dat150_[[#This Row],[Log Quadratic Trend]]-Table_dat150_[[#This Row],[Cycle]]</f>
        <v>5.6111378334182407E-2</v>
      </c>
      <c r="R67" s="9">
        <f>AVERAGEIF(Table_dat150_[Quarter], B67, Table_dat150_[High Frequency])</f>
        <v>3.2923068860816217E-2</v>
      </c>
      <c r="S67" s="9">
        <f>Table_dat150_[[#This Row],[S0]]-AVERAGE($R$6:$R$9)</f>
        <v>3.3016609529259298E-2</v>
      </c>
    </row>
    <row r="68" spans="1:19" x14ac:dyDescent="0.3">
      <c r="A68">
        <v>1966</v>
      </c>
      <c r="B68">
        <v>3</v>
      </c>
      <c r="C68" s="1">
        <f>DATE(Table_dat150_[[#This Row],[Year]],(Table_dat150_[[#This Row],[Quarter]]-1)*3+2,15)</f>
        <v>24334</v>
      </c>
      <c r="D68">
        <f>Table_dat150_[[#This Row],[Year]]+1/8+(Table_dat150_[[#This Row],[Quarter]]-1)/4</f>
        <v>1966.625</v>
      </c>
      <c r="E68">
        <f>Table_dat150_[[#This Row],[DecDate]]^2</f>
        <v>3867613.890625</v>
      </c>
      <c r="F68">
        <v>831</v>
      </c>
      <c r="G68" s="8">
        <f>LN(Table_dat150_[[#This Row],[Expenditure]])</f>
        <v>6.7226297948554485</v>
      </c>
      <c r="H68" s="9">
        <f t="shared" si="2"/>
        <v>0</v>
      </c>
      <c r="I68" s="9">
        <f>(1+Table_dat150_[[#This Row],[gt]])^4 -1</f>
        <v>0</v>
      </c>
      <c r="J68" s="9">
        <f>$V$18+$V$19*Table_dat150_[[#This Row],[DecDate]]</f>
        <v>770.01455573687599</v>
      </c>
      <c r="K68" s="9">
        <f>$V$37+$V$38*Table_dat150_[[#This Row],[DecDate]]+$V$39*Table_dat150_[[#This Row],[DecDate2]]</f>
        <v>768.66062580219295</v>
      </c>
      <c r="L68" s="9">
        <f>$AF$18+$AF$19*Table_dat150_[[#This Row],[DecDate]]</f>
        <v>6.6448898749789356</v>
      </c>
      <c r="M68" s="9">
        <f>$AF$37+$AF$38*Table_dat150_[[#This Row],[DecDate]]+$AF$39*Table_dat150_[[#This Row],[DecDate2]]</f>
        <v>6.6444930332281693</v>
      </c>
      <c r="N68" s="9">
        <f>Table_dat150_[[#This Row],[LogExpenditure]]-Table_dat150_[[#This Row],[Log Quadratic Trend]]</f>
        <v>7.8136761627279228E-2</v>
      </c>
      <c r="O68" s="9">
        <f t="shared" si="1"/>
        <v>1.2318560291782887E-2</v>
      </c>
      <c r="P68" s="9">
        <f>Table_dat150_[[#This Row],[Log Quadratic Trend]]+Table_dat150_[[#This Row],[Cycle]]</f>
        <v>6.6568115935199526</v>
      </c>
      <c r="Q68" s="9">
        <f>Table_dat150_[[#This Row],[LogExpenditure]]-Table_dat150_[[#This Row],[Log Quadratic Trend]]-Table_dat150_[[#This Row],[Cycle]]</f>
        <v>6.5818201335496346E-2</v>
      </c>
      <c r="R68" s="9">
        <f>AVERAGEIF(Table_dat150_[Quarter], B68, Table_dat150_[High Frequency])</f>
        <v>3.7456808917954526E-2</v>
      </c>
      <c r="S68" s="9">
        <f>Table_dat150_[[#This Row],[S0]]-AVERAGE($R$6:$R$9)</f>
        <v>3.7550349586397608E-2</v>
      </c>
    </row>
    <row r="69" spans="1:19" x14ac:dyDescent="0.3">
      <c r="A69">
        <v>1966</v>
      </c>
      <c r="B69">
        <v>4</v>
      </c>
      <c r="C69" s="1">
        <f>DATE(Table_dat150_[[#This Row],[Year]],(Table_dat150_[[#This Row],[Quarter]]-1)*3+2,15)</f>
        <v>24426</v>
      </c>
      <c r="D69">
        <f>Table_dat150_[[#This Row],[Year]]+1/8+(Table_dat150_[[#This Row],[Quarter]]-1)/4</f>
        <v>1966.875</v>
      </c>
      <c r="E69">
        <f>Table_dat150_[[#This Row],[DecDate]]^2</f>
        <v>3868597.265625</v>
      </c>
      <c r="F69">
        <v>743</v>
      </c>
      <c r="G69" s="8">
        <f>LN(Table_dat150_[[#This Row],[Expenditure]])</f>
        <v>6.6106960447177592</v>
      </c>
      <c r="H69" s="9">
        <f t="shared" si="2"/>
        <v>-0.10589651022864019</v>
      </c>
      <c r="I69" s="9">
        <f>(1+Table_dat150_[[#This Row],[gt]])^4 -1</f>
        <v>-0.36092598414326682</v>
      </c>
      <c r="J69" s="9">
        <f>$V$18+$V$19*Table_dat150_[[#This Row],[DecDate]]</f>
        <v>771.32021128070119</v>
      </c>
      <c r="K69" s="9">
        <f>$V$37+$V$38*Table_dat150_[[#This Row],[DecDate]]+$V$39*Table_dat150_[[#This Row],[DecDate2]]</f>
        <v>769.76736901476397</v>
      </c>
      <c r="L69" s="9">
        <f>$AF$18+$AF$19*Table_dat150_[[#This Row],[DecDate]]</f>
        <v>6.6463959037297107</v>
      </c>
      <c r="M69" s="9">
        <f>$AF$37+$AF$38*Table_dat150_[[#This Row],[DecDate]]+$AF$39*Table_dat150_[[#This Row],[DecDate2]]</f>
        <v>6.6459407600566927</v>
      </c>
      <c r="N69" s="9">
        <f>Table_dat150_[[#This Row],[LogExpenditure]]-Table_dat150_[[#This Row],[Log Quadratic Trend]]</f>
        <v>-3.5244715338933474E-2</v>
      </c>
      <c r="O69" s="9">
        <f t="shared" ref="O69:O132" si="3">AVERAGE(N67:N71)</f>
        <v>2.5826251920406662E-2</v>
      </c>
      <c r="P69" s="9">
        <f>Table_dat150_[[#This Row],[Log Quadratic Trend]]+Table_dat150_[[#This Row],[Cycle]]</f>
        <v>6.6717670119770993</v>
      </c>
      <c r="Q69" s="9">
        <f>Table_dat150_[[#This Row],[LogExpenditure]]-Table_dat150_[[#This Row],[Log Quadratic Trend]]-Table_dat150_[[#This Row],[Cycle]]</f>
        <v>-6.1070967259340136E-2</v>
      </c>
      <c r="R69" s="9">
        <f>AVERAGEIF(Table_dat150_[Quarter], B69, Table_dat150_[High Frequency])</f>
        <v>-2.8472086212635514E-2</v>
      </c>
      <c r="S69" s="9">
        <f>Table_dat150_[[#This Row],[S0]]-AVERAGE($R$6:$R$9)</f>
        <v>-2.8378545544192432E-2</v>
      </c>
    </row>
    <row r="70" spans="1:19" x14ac:dyDescent="0.3">
      <c r="A70">
        <v>1967</v>
      </c>
      <c r="B70">
        <v>1</v>
      </c>
      <c r="C70" s="1">
        <f>DATE(Table_dat150_[[#This Row],[Year]],(Table_dat150_[[#This Row],[Quarter]]-1)*3+2,15)</f>
        <v>24518</v>
      </c>
      <c r="D70">
        <f>Table_dat150_[[#This Row],[Year]]+1/8+(Table_dat150_[[#This Row],[Quarter]]-1)/4</f>
        <v>1967.125</v>
      </c>
      <c r="E70">
        <f>Table_dat150_[[#This Row],[DecDate]]^2</f>
        <v>3869580.765625</v>
      </c>
      <c r="F70">
        <v>744</v>
      </c>
      <c r="G70" s="8">
        <f>LN(Table_dat150_[[#This Row],[Expenditure]])</f>
        <v>6.6120410348330916</v>
      </c>
      <c r="H70" s="9">
        <f t="shared" si="2"/>
        <v>1.3458950201884253E-3</v>
      </c>
      <c r="I70" s="9">
        <f>(1+Table_dat150_[[#This Row],[gt]])^4 -1</f>
        <v>5.3944584364633563E-3</v>
      </c>
      <c r="J70" s="9">
        <f>$V$18+$V$19*Table_dat150_[[#This Row],[DecDate]]</f>
        <v>772.6258668245282</v>
      </c>
      <c r="K70" s="9">
        <f>$V$37+$V$38*Table_dat150_[[#This Row],[DecDate]]+$V$39*Table_dat150_[[#This Row],[DecDate2]]</f>
        <v>770.87676439176721</v>
      </c>
      <c r="L70" s="9">
        <f>$AF$18+$AF$19*Table_dat150_[[#This Row],[DecDate]]</f>
        <v>6.6479019324804858</v>
      </c>
      <c r="M70" s="9">
        <f>$AF$37+$AF$38*Table_dat150_[[#This Row],[DecDate]]+$AF$39*Table_dat150_[[#This Row],[DecDate2]]</f>
        <v>6.6473892642441825</v>
      </c>
      <c r="N70" s="9">
        <f>Table_dat150_[[#This Row],[LogExpenditure]]-Table_dat150_[[#This Row],[Log Quadratic Trend]]</f>
        <v>-3.5348229411090948E-2</v>
      </c>
      <c r="O70" s="9">
        <f t="shared" si="3"/>
        <v>2.4377747732916077E-2</v>
      </c>
      <c r="P70" s="9">
        <f>Table_dat150_[[#This Row],[Log Quadratic Trend]]+Table_dat150_[[#This Row],[Cycle]]</f>
        <v>6.6717670119770984</v>
      </c>
      <c r="Q70" s="9">
        <f>Table_dat150_[[#This Row],[LogExpenditure]]-Table_dat150_[[#This Row],[Log Quadratic Trend]]-Table_dat150_[[#This Row],[Cycle]]</f>
        <v>-5.9725977144007028E-2</v>
      </c>
      <c r="R70" s="9">
        <f>AVERAGEIF(Table_dat150_[Quarter], B70, Table_dat150_[High Frequency])</f>
        <v>-4.2281954239907563E-2</v>
      </c>
      <c r="S70" s="9">
        <f>Table_dat150_[[#This Row],[S0]]-AVERAGE($R$6:$R$9)</f>
        <v>-4.2188413571464481E-2</v>
      </c>
    </row>
    <row r="71" spans="1:19" x14ac:dyDescent="0.3">
      <c r="A71">
        <v>1967</v>
      </c>
      <c r="B71">
        <v>2</v>
      </c>
      <c r="C71" s="1">
        <f>DATE(Table_dat150_[[#This Row],[Year]],(Table_dat150_[[#This Row],[Quarter]]-1)*3+2,15)</f>
        <v>24607</v>
      </c>
      <c r="D71">
        <f>Table_dat150_[[#This Row],[Year]]+1/8+(Table_dat150_[[#This Row],[Quarter]]-1)/4</f>
        <v>1967.375</v>
      </c>
      <c r="E71">
        <f>Table_dat150_[[#This Row],[DecDate]]^2</f>
        <v>3870564.390625</v>
      </c>
      <c r="F71">
        <v>805</v>
      </c>
      <c r="G71" s="8">
        <f>LN(Table_dat150_[[#This Row],[Expenditure]])</f>
        <v>6.6908422774185636</v>
      </c>
      <c r="H71" s="9">
        <f t="shared" si="2"/>
        <v>8.1989247311827954E-2</v>
      </c>
      <c r="I71" s="9">
        <f>(1+Table_dat150_[[#This Row],[gt]])^4 -1</f>
        <v>0.37054020226264628</v>
      </c>
      <c r="J71" s="9">
        <f>$V$18+$V$19*Table_dat150_[[#This Row],[DecDate]]</f>
        <v>773.93152236835522</v>
      </c>
      <c r="K71" s="9">
        <f>$V$37+$V$38*Table_dat150_[[#This Row],[DecDate]]+$V$39*Table_dat150_[[#This Row],[DecDate2]]</f>
        <v>771.98881193315901</v>
      </c>
      <c r="L71" s="9">
        <f>$AF$18+$AF$19*Table_dat150_[[#This Row],[DecDate]]</f>
        <v>6.6494079612312627</v>
      </c>
      <c r="M71" s="9">
        <f>$AF$37+$AF$38*Table_dat150_[[#This Row],[DecDate]]+$AF$39*Table_dat150_[[#This Row],[DecDate2]]</f>
        <v>6.6488385457906318</v>
      </c>
      <c r="N71" s="9">
        <f>Table_dat150_[[#This Row],[LogExpenditure]]-Table_dat150_[[#This Row],[Log Quadratic Trend]]</f>
        <v>4.2003731627931806E-2</v>
      </c>
      <c r="O71" s="9">
        <f t="shared" si="3"/>
        <v>4.5391843438485676E-3</v>
      </c>
      <c r="P71" s="9">
        <f>Table_dat150_[[#This Row],[Log Quadratic Trend]]+Table_dat150_[[#This Row],[Cycle]]</f>
        <v>6.6533777301344807</v>
      </c>
      <c r="Q71" s="9">
        <f>Table_dat150_[[#This Row],[LogExpenditure]]-Table_dat150_[[#This Row],[Log Quadratic Trend]]-Table_dat150_[[#This Row],[Cycle]]</f>
        <v>3.7464547284083237E-2</v>
      </c>
      <c r="R71" s="9">
        <f>AVERAGEIF(Table_dat150_[Quarter], B71, Table_dat150_[High Frequency])</f>
        <v>3.2923068860816217E-2</v>
      </c>
      <c r="S71" s="9">
        <f>Table_dat150_[[#This Row],[S0]]-AVERAGE($R$6:$R$9)</f>
        <v>3.3016609529259298E-2</v>
      </c>
    </row>
    <row r="72" spans="1:19" x14ac:dyDescent="0.3">
      <c r="A72">
        <v>1967</v>
      </c>
      <c r="B72">
        <v>3</v>
      </c>
      <c r="C72" s="1">
        <f>DATE(Table_dat150_[[#This Row],[Year]],(Table_dat150_[[#This Row],[Quarter]]-1)*3+2,15)</f>
        <v>24699</v>
      </c>
      <c r="D72">
        <f>Table_dat150_[[#This Row],[Year]]+1/8+(Table_dat150_[[#This Row],[Quarter]]-1)/4</f>
        <v>1967.625</v>
      </c>
      <c r="E72">
        <f>Table_dat150_[[#This Row],[DecDate]]^2</f>
        <v>3871548.140625</v>
      </c>
      <c r="F72">
        <v>831</v>
      </c>
      <c r="G72" s="8">
        <f>LN(Table_dat150_[[#This Row],[Expenditure]])</f>
        <v>6.7226297948554485</v>
      </c>
      <c r="H72" s="9">
        <f t="shared" si="2"/>
        <v>3.2298136645962733E-2</v>
      </c>
      <c r="I72" s="9">
        <f>(1+Table_dat150_[[#This Row],[gt]])^4 -1</f>
        <v>0.13558742231265941</v>
      </c>
      <c r="J72" s="9">
        <f>$V$18+$V$19*Table_dat150_[[#This Row],[DecDate]]</f>
        <v>775.23717791218041</v>
      </c>
      <c r="K72" s="9">
        <f>$V$37+$V$38*Table_dat150_[[#This Row],[DecDate]]+$V$39*Table_dat150_[[#This Row],[DecDate2]]</f>
        <v>773.10351163898304</v>
      </c>
      <c r="L72" s="9">
        <f>$AF$18+$AF$19*Table_dat150_[[#This Row],[DecDate]]</f>
        <v>6.6509139899820378</v>
      </c>
      <c r="M72" s="9">
        <f>$AF$37+$AF$38*Table_dat150_[[#This Row],[DecDate]]+$AF$39*Table_dat150_[[#This Row],[DecDate2]]</f>
        <v>6.6502886046960548</v>
      </c>
      <c r="N72" s="9">
        <f>Table_dat150_[[#This Row],[LogExpenditure]]-Table_dat150_[[#This Row],[Log Quadratic Trend]]</f>
        <v>7.2341190159393776E-2</v>
      </c>
      <c r="O72" s="9">
        <f t="shared" si="3"/>
        <v>4.4305120897764286E-3</v>
      </c>
      <c r="P72" s="9">
        <f>Table_dat150_[[#This Row],[Log Quadratic Trend]]+Table_dat150_[[#This Row],[Cycle]]</f>
        <v>6.6547191167858308</v>
      </c>
      <c r="Q72" s="9">
        <f>Table_dat150_[[#This Row],[LogExpenditure]]-Table_dat150_[[#This Row],[Log Quadratic Trend]]-Table_dat150_[[#This Row],[Cycle]]</f>
        <v>6.7910678069617342E-2</v>
      </c>
      <c r="R72" s="9">
        <f>AVERAGEIF(Table_dat150_[Quarter], B72, Table_dat150_[High Frequency])</f>
        <v>3.7456808917954526E-2</v>
      </c>
      <c r="S72" s="9">
        <f>Table_dat150_[[#This Row],[S0]]-AVERAGE($R$6:$R$9)</f>
        <v>3.7550349586397608E-2</v>
      </c>
    </row>
    <row r="73" spans="1:19" x14ac:dyDescent="0.3">
      <c r="A73">
        <v>1967</v>
      </c>
      <c r="B73">
        <v>4</v>
      </c>
      <c r="C73" s="1">
        <f>DATE(Table_dat150_[[#This Row],[Year]],(Table_dat150_[[#This Row],[Quarter]]-1)*3+2,15)</f>
        <v>24791</v>
      </c>
      <c r="D73">
        <f>Table_dat150_[[#This Row],[Year]]+1/8+(Table_dat150_[[#This Row],[Quarter]]-1)/4</f>
        <v>1967.875</v>
      </c>
      <c r="E73">
        <f>Table_dat150_[[#This Row],[DecDate]]^2</f>
        <v>3872532.015625</v>
      </c>
      <c r="F73">
        <v>758</v>
      </c>
      <c r="G73" s="8">
        <f>LN(Table_dat150_[[#This Row],[Expenditure]])</f>
        <v>6.6306833856423717</v>
      </c>
      <c r="H73" s="9">
        <f t="shared" si="2"/>
        <v>-8.7845968712394709E-2</v>
      </c>
      <c r="I73" s="9">
        <f>(1+Table_dat150_[[#This Row],[gt]])^4 -1</f>
        <v>-0.30773443799056166</v>
      </c>
      <c r="J73" s="9">
        <f>$V$18+$V$19*Table_dat150_[[#This Row],[DecDate]]</f>
        <v>776.54283345600743</v>
      </c>
      <c r="K73" s="9">
        <f>$V$37+$V$38*Table_dat150_[[#This Row],[DecDate]]+$V$39*Table_dat150_[[#This Row],[DecDate2]]</f>
        <v>774.22086350923928</v>
      </c>
      <c r="L73" s="9">
        <f>$AF$18+$AF$19*Table_dat150_[[#This Row],[DecDate]]</f>
        <v>6.6524200187328129</v>
      </c>
      <c r="M73" s="9">
        <f>$AF$37+$AF$38*Table_dat150_[[#This Row],[DecDate]]+$AF$39*Table_dat150_[[#This Row],[DecDate2]]</f>
        <v>6.65173944096043</v>
      </c>
      <c r="N73" s="9">
        <f>Table_dat150_[[#This Row],[LogExpenditure]]-Table_dat150_[[#This Row],[Log Quadratic Trend]]</f>
        <v>-2.105605531805832E-2</v>
      </c>
      <c r="O73" s="9">
        <f t="shared" si="3"/>
        <v>1.3708212415259524E-2</v>
      </c>
      <c r="P73" s="9">
        <f>Table_dat150_[[#This Row],[Log Quadratic Trend]]+Table_dat150_[[#This Row],[Cycle]]</f>
        <v>6.6654476533756899</v>
      </c>
      <c r="Q73" s="9">
        <f>Table_dat150_[[#This Row],[LogExpenditure]]-Table_dat150_[[#This Row],[Log Quadratic Trend]]-Table_dat150_[[#This Row],[Cycle]]</f>
        <v>-3.4764267733317845E-2</v>
      </c>
      <c r="R73" s="9">
        <f>AVERAGEIF(Table_dat150_[Quarter], B73, Table_dat150_[High Frequency])</f>
        <v>-2.8472086212635514E-2</v>
      </c>
      <c r="S73" s="9">
        <f>Table_dat150_[[#This Row],[S0]]-AVERAGE($R$6:$R$9)</f>
        <v>-2.8378545544192432E-2</v>
      </c>
    </row>
    <row r="74" spans="1:19" x14ac:dyDescent="0.3">
      <c r="A74">
        <v>1968</v>
      </c>
      <c r="B74">
        <v>1</v>
      </c>
      <c r="C74" s="1">
        <f>DATE(Table_dat150_[[#This Row],[Year]],(Table_dat150_[[#This Row],[Quarter]]-1)*3+2,15)</f>
        <v>24883</v>
      </c>
      <c r="D74">
        <f>Table_dat150_[[#This Row],[Year]]+1/8+(Table_dat150_[[#This Row],[Quarter]]-1)/4</f>
        <v>1968.125</v>
      </c>
      <c r="E74">
        <f>Table_dat150_[[#This Row],[DecDate]]^2</f>
        <v>3873516.015625</v>
      </c>
      <c r="F74">
        <v>748</v>
      </c>
      <c r="G74" s="8">
        <f>LN(Table_dat150_[[#This Row],[Expenditure]])</f>
        <v>6.6174029779744776</v>
      </c>
      <c r="H74" s="9">
        <f t="shared" si="2"/>
        <v>-1.3192612137203167E-2</v>
      </c>
      <c r="I74" s="9">
        <f>(1+Table_dat150_[[#This Row],[gt]])^4 -1</f>
        <v>-5.1735332600638451E-2</v>
      </c>
      <c r="J74" s="9">
        <f>$V$18+$V$19*Table_dat150_[[#This Row],[DecDate]]</f>
        <v>777.84848899983444</v>
      </c>
      <c r="K74" s="9">
        <f>$V$37+$V$38*Table_dat150_[[#This Row],[DecDate]]+$V$39*Table_dat150_[[#This Row],[DecDate2]]</f>
        <v>775.34086754389864</v>
      </c>
      <c r="L74" s="9">
        <f>$AF$18+$AF$19*Table_dat150_[[#This Row],[DecDate]]</f>
        <v>6.653926047483588</v>
      </c>
      <c r="M74" s="9">
        <f>$AF$37+$AF$38*Table_dat150_[[#This Row],[DecDate]]+$AF$39*Table_dat150_[[#This Row],[DecDate2]]</f>
        <v>6.6531910545837718</v>
      </c>
      <c r="N74" s="9">
        <f>Table_dat150_[[#This Row],[LogExpenditure]]-Table_dat150_[[#This Row],[Log Quadratic Trend]]</f>
        <v>-3.5788076609294173E-2</v>
      </c>
      <c r="O74" s="9">
        <f t="shared" si="3"/>
        <v>2.8460899377373396E-3</v>
      </c>
      <c r="P74" s="9">
        <f>Table_dat150_[[#This Row],[Log Quadratic Trend]]+Table_dat150_[[#This Row],[Cycle]]</f>
        <v>6.656037144521509</v>
      </c>
      <c r="Q74" s="9">
        <f>Table_dat150_[[#This Row],[LogExpenditure]]-Table_dat150_[[#This Row],[Log Quadratic Trend]]-Table_dat150_[[#This Row],[Cycle]]</f>
        <v>-3.8634166547031515E-2</v>
      </c>
      <c r="R74" s="9">
        <f>AVERAGEIF(Table_dat150_[Quarter], B74, Table_dat150_[High Frequency])</f>
        <v>-4.2281954239907563E-2</v>
      </c>
      <c r="S74" s="9">
        <f>Table_dat150_[[#This Row],[S0]]-AVERAGE($R$6:$R$9)</f>
        <v>-4.2188413571464481E-2</v>
      </c>
    </row>
    <row r="75" spans="1:19" x14ac:dyDescent="0.3">
      <c r="A75">
        <v>1968</v>
      </c>
      <c r="B75">
        <v>2</v>
      </c>
      <c r="C75" s="1">
        <f>DATE(Table_dat150_[[#This Row],[Year]],(Table_dat150_[[#This Row],[Quarter]]-1)*3+2,15)</f>
        <v>24973</v>
      </c>
      <c r="D75">
        <f>Table_dat150_[[#This Row],[Year]]+1/8+(Table_dat150_[[#This Row],[Quarter]]-1)/4</f>
        <v>1968.375</v>
      </c>
      <c r="E75">
        <f>Table_dat150_[[#This Row],[DecDate]]^2</f>
        <v>3874500.140625</v>
      </c>
      <c r="F75">
        <v>785</v>
      </c>
      <c r="G75" s="8">
        <f>LN(Table_dat150_[[#This Row],[Expenditure]])</f>
        <v>6.6656837177824082</v>
      </c>
      <c r="H75" s="9">
        <f t="shared" si="2"/>
        <v>4.9465240641711233E-2</v>
      </c>
      <c r="I75" s="9">
        <f>(1+Table_dat150_[[#This Row],[gt]])^4 -1</f>
        <v>0.21303193782473007</v>
      </c>
      <c r="J75" s="9">
        <f>$V$18+$V$19*Table_dat150_[[#This Row],[DecDate]]</f>
        <v>779.15414454365964</v>
      </c>
      <c r="K75" s="9">
        <f>$V$37+$V$38*Table_dat150_[[#This Row],[DecDate]]+$V$39*Table_dat150_[[#This Row],[DecDate2]]</f>
        <v>776.46352374299022</v>
      </c>
      <c r="L75" s="9">
        <f>$AF$18+$AF$19*Table_dat150_[[#This Row],[DecDate]]</f>
        <v>6.6554320762343631</v>
      </c>
      <c r="M75" s="9">
        <f>$AF$37+$AF$38*Table_dat150_[[#This Row],[DecDate]]+$AF$39*Table_dat150_[[#This Row],[DecDate2]]</f>
        <v>6.6546434455660837</v>
      </c>
      <c r="N75" s="9">
        <f>Table_dat150_[[#This Row],[LogExpenditure]]-Table_dat150_[[#This Row],[Log Quadratic Trend]]</f>
        <v>1.1040272216324531E-2</v>
      </c>
      <c r="O75" s="9">
        <f t="shared" si="3"/>
        <v>-1.620558844332063E-2</v>
      </c>
      <c r="P75" s="9">
        <f>Table_dat150_[[#This Row],[Log Quadratic Trend]]+Table_dat150_[[#This Row],[Cycle]]</f>
        <v>6.6384378571227627</v>
      </c>
      <c r="Q75" s="9">
        <f>Table_dat150_[[#This Row],[LogExpenditure]]-Table_dat150_[[#This Row],[Log Quadratic Trend]]-Table_dat150_[[#This Row],[Cycle]]</f>
        <v>2.7245860659645162E-2</v>
      </c>
      <c r="R75" s="9">
        <f>AVERAGEIF(Table_dat150_[Quarter], B75, Table_dat150_[High Frequency])</f>
        <v>3.2923068860816217E-2</v>
      </c>
      <c r="S75" s="9">
        <f>Table_dat150_[[#This Row],[S0]]-AVERAGE($R$6:$R$9)</f>
        <v>3.3016609529259298E-2</v>
      </c>
    </row>
    <row r="76" spans="1:19" x14ac:dyDescent="0.3">
      <c r="A76">
        <v>1968</v>
      </c>
      <c r="B76">
        <v>3</v>
      </c>
      <c r="C76" s="1">
        <f>DATE(Table_dat150_[[#This Row],[Year]],(Table_dat150_[[#This Row],[Quarter]]-1)*3+2,15)</f>
        <v>25065</v>
      </c>
      <c r="D76">
        <f>Table_dat150_[[#This Row],[Year]]+1/8+(Table_dat150_[[#This Row],[Quarter]]-1)/4</f>
        <v>1968.625</v>
      </c>
      <c r="E76">
        <f>Table_dat150_[[#This Row],[DecDate]]^2</f>
        <v>3875484.390625</v>
      </c>
      <c r="F76">
        <v>768</v>
      </c>
      <c r="G76" s="8">
        <f>LN(Table_dat150_[[#This Row],[Expenditure]])</f>
        <v>6.6437897331476723</v>
      </c>
      <c r="H76" s="9">
        <f t="shared" si="2"/>
        <v>-2.1656050955414011E-2</v>
      </c>
      <c r="I76" s="9">
        <f>(1+Table_dat150_[[#This Row],[gt]])^4 -1</f>
        <v>-8.3850702029894086E-2</v>
      </c>
      <c r="J76" s="9">
        <f>$V$18+$V$19*Table_dat150_[[#This Row],[DecDate]]</f>
        <v>780.45980008748666</v>
      </c>
      <c r="K76" s="9">
        <f>$V$37+$V$38*Table_dat150_[[#This Row],[DecDate]]+$V$39*Table_dat150_[[#This Row],[DecDate2]]</f>
        <v>777.58883210648492</v>
      </c>
      <c r="L76" s="9">
        <f>$AF$18+$AF$19*Table_dat150_[[#This Row],[DecDate]]</f>
        <v>6.6569381049851382</v>
      </c>
      <c r="M76" s="9">
        <f>$AF$37+$AF$38*Table_dat150_[[#This Row],[DecDate]]+$AF$39*Table_dat150_[[#This Row],[DecDate2]]</f>
        <v>6.6560966139073514</v>
      </c>
      <c r="N76" s="9">
        <f>Table_dat150_[[#This Row],[LogExpenditure]]-Table_dat150_[[#This Row],[Log Quadratic Trend]]</f>
        <v>-1.2306880759679117E-2</v>
      </c>
      <c r="O76" s="9">
        <f t="shared" si="3"/>
        <v>-1.6868762340728337E-2</v>
      </c>
      <c r="P76" s="9">
        <f>Table_dat150_[[#This Row],[Log Quadratic Trend]]+Table_dat150_[[#This Row],[Cycle]]</f>
        <v>6.6392278515666234</v>
      </c>
      <c r="Q76" s="9">
        <f>Table_dat150_[[#This Row],[LogExpenditure]]-Table_dat150_[[#This Row],[Log Quadratic Trend]]-Table_dat150_[[#This Row],[Cycle]]</f>
        <v>4.5618815810492194E-3</v>
      </c>
      <c r="R76" s="9">
        <f>AVERAGEIF(Table_dat150_[Quarter], B76, Table_dat150_[High Frequency])</f>
        <v>3.7456808917954526E-2</v>
      </c>
      <c r="S76" s="9">
        <f>Table_dat150_[[#This Row],[S0]]-AVERAGE($R$6:$R$9)</f>
        <v>3.7550349586397608E-2</v>
      </c>
    </row>
    <row r="77" spans="1:19" x14ac:dyDescent="0.3">
      <c r="A77">
        <v>1968</v>
      </c>
      <c r="B77">
        <v>4</v>
      </c>
      <c r="C77" s="1">
        <f>DATE(Table_dat150_[[#This Row],[Year]],(Table_dat150_[[#This Row],[Quarter]]-1)*3+2,15)</f>
        <v>25157</v>
      </c>
      <c r="D77">
        <f>Table_dat150_[[#This Row],[Year]]+1/8+(Table_dat150_[[#This Row],[Quarter]]-1)/4</f>
        <v>1968.875</v>
      </c>
      <c r="E77">
        <f>Table_dat150_[[#This Row],[DecDate]]^2</f>
        <v>3876468.765625</v>
      </c>
      <c r="F77">
        <v>761</v>
      </c>
      <c r="G77" s="8">
        <f>LN(Table_dat150_[[#This Row],[Expenditure]])</f>
        <v>6.6346333578616861</v>
      </c>
      <c r="H77" s="9">
        <f t="shared" si="2"/>
        <v>-9.1145833333333339E-3</v>
      </c>
      <c r="I77" s="9">
        <f>(1+Table_dat150_[[#This Row],[gt]])^4 -1</f>
        <v>-3.5962901454717922E-2</v>
      </c>
      <c r="J77" s="9">
        <f>$V$18+$V$19*Table_dat150_[[#This Row],[DecDate]]</f>
        <v>781.76545563131367</v>
      </c>
      <c r="K77" s="9">
        <f>$V$37+$V$38*Table_dat150_[[#This Row],[DecDate]]+$V$39*Table_dat150_[[#This Row],[DecDate2]]</f>
        <v>778.71679263436818</v>
      </c>
      <c r="L77" s="9">
        <f>$AF$18+$AF$19*Table_dat150_[[#This Row],[DecDate]]</f>
        <v>6.658444133735915</v>
      </c>
      <c r="M77" s="9">
        <f>$AF$37+$AF$38*Table_dat150_[[#This Row],[DecDate]]+$AF$39*Table_dat150_[[#This Row],[DecDate2]]</f>
        <v>6.6575505596075821</v>
      </c>
      <c r="N77" s="9">
        <f>Table_dat150_[[#This Row],[LogExpenditure]]-Table_dat150_[[#This Row],[Log Quadratic Trend]]</f>
        <v>-2.2917201745896065E-2</v>
      </c>
      <c r="O77" s="9">
        <f t="shared" si="3"/>
        <v>-6.3866113864301964E-3</v>
      </c>
      <c r="P77" s="9">
        <f>Table_dat150_[[#This Row],[Log Quadratic Trend]]+Table_dat150_[[#This Row],[Cycle]]</f>
        <v>6.6511639482211518</v>
      </c>
      <c r="Q77" s="9">
        <f>Table_dat150_[[#This Row],[LogExpenditure]]-Table_dat150_[[#This Row],[Log Quadratic Trend]]-Table_dat150_[[#This Row],[Cycle]]</f>
        <v>-1.6530590359465868E-2</v>
      </c>
      <c r="R77" s="9">
        <f>AVERAGEIF(Table_dat150_[Quarter], B77, Table_dat150_[High Frequency])</f>
        <v>-2.8472086212635514E-2</v>
      </c>
      <c r="S77" s="9">
        <f>Table_dat150_[[#This Row],[S0]]-AVERAGE($R$6:$R$9)</f>
        <v>-2.8378545544192432E-2</v>
      </c>
    </row>
    <row r="78" spans="1:19" x14ac:dyDescent="0.3">
      <c r="A78">
        <v>1969</v>
      </c>
      <c r="B78">
        <v>1</v>
      </c>
      <c r="C78" s="1">
        <f>DATE(Table_dat150_[[#This Row],[Year]],(Table_dat150_[[#This Row],[Quarter]]-1)*3+2,15)</f>
        <v>25249</v>
      </c>
      <c r="D78">
        <f>Table_dat150_[[#This Row],[Year]]+1/8+(Table_dat150_[[#This Row],[Quarter]]-1)/4</f>
        <v>1969.125</v>
      </c>
      <c r="E78">
        <f>Table_dat150_[[#This Row],[DecDate]]^2</f>
        <v>3877453.265625</v>
      </c>
      <c r="F78">
        <v>761</v>
      </c>
      <c r="G78" s="8">
        <f>LN(Table_dat150_[[#This Row],[Expenditure]])</f>
        <v>6.6346333578616861</v>
      </c>
      <c r="H78" s="9">
        <f t="shared" si="2"/>
        <v>0</v>
      </c>
      <c r="I78" s="9">
        <f>(1+Table_dat150_[[#This Row],[gt]])^4 -1</f>
        <v>0</v>
      </c>
      <c r="J78" s="9">
        <f>$V$18+$V$19*Table_dat150_[[#This Row],[DecDate]]</f>
        <v>783.07111117514069</v>
      </c>
      <c r="K78" s="9">
        <f>$V$37+$V$38*Table_dat150_[[#This Row],[DecDate]]+$V$39*Table_dat150_[[#This Row],[DecDate2]]</f>
        <v>779.84740532669821</v>
      </c>
      <c r="L78" s="9">
        <f>$AF$18+$AF$19*Table_dat150_[[#This Row],[DecDate]]</f>
        <v>6.6599501624866901</v>
      </c>
      <c r="M78" s="9">
        <f>$AF$37+$AF$38*Table_dat150_[[#This Row],[DecDate]]+$AF$39*Table_dat150_[[#This Row],[DecDate2]]</f>
        <v>6.6590052826667829</v>
      </c>
      <c r="N78" s="9">
        <f>Table_dat150_[[#This Row],[LogExpenditure]]-Table_dat150_[[#This Row],[Log Quadratic Trend]]</f>
        <v>-2.4371924805096867E-2</v>
      </c>
      <c r="O78" s="9">
        <f t="shared" si="3"/>
        <v>2.3408767020878683E-3</v>
      </c>
      <c r="P78" s="9">
        <f>Table_dat150_[[#This Row],[Log Quadratic Trend]]+Table_dat150_[[#This Row],[Cycle]]</f>
        <v>6.661346159368871</v>
      </c>
      <c r="Q78" s="9">
        <f>Table_dat150_[[#This Row],[LogExpenditure]]-Table_dat150_[[#This Row],[Log Quadratic Trend]]-Table_dat150_[[#This Row],[Cycle]]</f>
        <v>-2.6712801507184736E-2</v>
      </c>
      <c r="R78" s="9">
        <f>AVERAGEIF(Table_dat150_[Quarter], B78, Table_dat150_[High Frequency])</f>
        <v>-4.2281954239907563E-2</v>
      </c>
      <c r="S78" s="9">
        <f>Table_dat150_[[#This Row],[S0]]-AVERAGE($R$6:$R$9)</f>
        <v>-4.2188413571464481E-2</v>
      </c>
    </row>
    <row r="79" spans="1:19" x14ac:dyDescent="0.3">
      <c r="A79">
        <v>1969</v>
      </c>
      <c r="B79">
        <v>2</v>
      </c>
      <c r="C79" s="1">
        <f>DATE(Table_dat150_[[#This Row],[Year]],(Table_dat150_[[#This Row],[Quarter]]-1)*3+2,15)</f>
        <v>25338</v>
      </c>
      <c r="D79">
        <f>Table_dat150_[[#This Row],[Year]]+1/8+(Table_dat150_[[#This Row],[Quarter]]-1)/4</f>
        <v>1969.375</v>
      </c>
      <c r="E79">
        <f>Table_dat150_[[#This Row],[DecDate]]^2</f>
        <v>3878437.890625</v>
      </c>
      <c r="F79">
        <v>794</v>
      </c>
      <c r="G79" s="8">
        <f>LN(Table_dat150_[[#This Row],[Expenditure]])</f>
        <v>6.6770834612471361</v>
      </c>
      <c r="H79" s="9">
        <f t="shared" si="2"/>
        <v>4.3363994743758211E-2</v>
      </c>
      <c r="I79" s="9">
        <f>(1+Table_dat150_[[#This Row],[gt]])^4 -1</f>
        <v>0.18506830412979647</v>
      </c>
      <c r="J79" s="9">
        <f>$V$18+$V$19*Table_dat150_[[#This Row],[DecDate]]</f>
        <v>784.37676671896588</v>
      </c>
      <c r="K79" s="9">
        <f>$V$37+$V$38*Table_dat150_[[#This Row],[DecDate]]+$V$39*Table_dat150_[[#This Row],[DecDate2]]</f>
        <v>780.98067018346046</v>
      </c>
      <c r="L79" s="9">
        <f>$AF$18+$AF$19*Table_dat150_[[#This Row],[DecDate]]</f>
        <v>6.6614561912374652</v>
      </c>
      <c r="M79" s="9">
        <f>$AF$37+$AF$38*Table_dat150_[[#This Row],[DecDate]]+$AF$39*Table_dat150_[[#This Row],[DecDate2]]</f>
        <v>6.6604607830849396</v>
      </c>
      <c r="N79" s="9">
        <f>Table_dat150_[[#This Row],[LogExpenditure]]-Table_dat150_[[#This Row],[Log Quadratic Trend]]</f>
        <v>1.6622678162196536E-2</v>
      </c>
      <c r="O79" s="9">
        <f t="shared" si="3"/>
        <v>-3.5914399927799321E-3</v>
      </c>
      <c r="P79" s="9">
        <f>Table_dat150_[[#This Row],[Log Quadratic Trend]]+Table_dat150_[[#This Row],[Cycle]]</f>
        <v>6.6568693430921595</v>
      </c>
      <c r="Q79" s="9">
        <f>Table_dat150_[[#This Row],[LogExpenditure]]-Table_dat150_[[#This Row],[Log Quadratic Trend]]-Table_dat150_[[#This Row],[Cycle]]</f>
        <v>2.0214118154976469E-2</v>
      </c>
      <c r="R79" s="9">
        <f>AVERAGEIF(Table_dat150_[Quarter], B79, Table_dat150_[High Frequency])</f>
        <v>3.2923068860816217E-2</v>
      </c>
      <c r="S79" s="9">
        <f>Table_dat150_[[#This Row],[S0]]-AVERAGE($R$6:$R$9)</f>
        <v>3.3016609529259298E-2</v>
      </c>
    </row>
    <row r="80" spans="1:19" x14ac:dyDescent="0.3">
      <c r="A80">
        <v>1969</v>
      </c>
      <c r="B80">
        <v>3</v>
      </c>
      <c r="C80" s="1">
        <f>DATE(Table_dat150_[[#This Row],[Year]],(Table_dat150_[[#This Row],[Quarter]]-1)*3+2,15)</f>
        <v>25430</v>
      </c>
      <c r="D80">
        <f>Table_dat150_[[#This Row],[Year]]+1/8+(Table_dat150_[[#This Row],[Quarter]]-1)/4</f>
        <v>1969.625</v>
      </c>
      <c r="E80">
        <f>Table_dat150_[[#This Row],[DecDate]]^2</f>
        <v>3879422.640625</v>
      </c>
      <c r="F80">
        <v>826</v>
      </c>
      <c r="G80" s="8">
        <f>LN(Table_dat150_[[#This Row],[Expenditure]])</f>
        <v>6.7165947735209777</v>
      </c>
      <c r="H80" s="9">
        <f t="shared" si="2"/>
        <v>4.0302267002518891E-2</v>
      </c>
      <c r="I80" s="9">
        <f>(1+Table_dat150_[[#This Row],[gt]])^4 -1</f>
        <v>0.17121919011749487</v>
      </c>
      <c r="J80" s="9">
        <f>$V$18+$V$19*Table_dat150_[[#This Row],[DecDate]]</f>
        <v>785.6824222627929</v>
      </c>
      <c r="K80" s="9">
        <f>$V$37+$V$38*Table_dat150_[[#This Row],[DecDate]]+$V$39*Table_dat150_[[#This Row],[DecDate2]]</f>
        <v>782.11658720462583</v>
      </c>
      <c r="L80" s="9">
        <f>$AF$18+$AF$19*Table_dat150_[[#This Row],[DecDate]]</f>
        <v>6.6629622199882403</v>
      </c>
      <c r="M80" s="9">
        <f>$AF$37+$AF$38*Table_dat150_[[#This Row],[DecDate]]+$AF$39*Table_dat150_[[#This Row],[DecDate2]]</f>
        <v>6.6619170608620628</v>
      </c>
      <c r="N80" s="9">
        <f>Table_dat150_[[#This Row],[LogExpenditure]]-Table_dat150_[[#This Row],[Log Quadratic Trend]]</f>
        <v>5.4677712658914857E-2</v>
      </c>
      <c r="O80" s="9">
        <f t="shared" si="3"/>
        <v>-9.0292693014889739E-3</v>
      </c>
      <c r="P80" s="9">
        <f>Table_dat150_[[#This Row],[Log Quadratic Trend]]+Table_dat150_[[#This Row],[Cycle]]</f>
        <v>6.6528877915605742</v>
      </c>
      <c r="Q80" s="9">
        <f>Table_dat150_[[#This Row],[LogExpenditure]]-Table_dat150_[[#This Row],[Log Quadratic Trend]]-Table_dat150_[[#This Row],[Cycle]]</f>
        <v>6.3706981960403836E-2</v>
      </c>
      <c r="R80" s="9">
        <f>AVERAGEIF(Table_dat150_[Quarter], B80, Table_dat150_[High Frequency])</f>
        <v>3.7456808917954526E-2</v>
      </c>
      <c r="S80" s="9">
        <f>Table_dat150_[[#This Row],[S0]]-AVERAGE($R$6:$R$9)</f>
        <v>3.7550349586397608E-2</v>
      </c>
    </row>
    <row r="81" spans="1:19" x14ac:dyDescent="0.3">
      <c r="A81">
        <v>1969</v>
      </c>
      <c r="B81">
        <v>4</v>
      </c>
      <c r="C81" s="1">
        <f>DATE(Table_dat150_[[#This Row],[Year]],(Table_dat150_[[#This Row],[Quarter]]-1)*3+2,15)</f>
        <v>25522</v>
      </c>
      <c r="D81">
        <f>Table_dat150_[[#This Row],[Year]]+1/8+(Table_dat150_[[#This Row],[Quarter]]-1)/4</f>
        <v>1969.875</v>
      </c>
      <c r="E81">
        <f>Table_dat150_[[#This Row],[DecDate]]^2</f>
        <v>3880407.515625</v>
      </c>
      <c r="F81">
        <v>751</v>
      </c>
      <c r="G81" s="8">
        <f>LN(Table_dat150_[[#This Row],[Expenditure]])</f>
        <v>6.6214056517641344</v>
      </c>
      <c r="H81" s="9">
        <f t="shared" si="2"/>
        <v>-9.0799031476997583E-2</v>
      </c>
      <c r="I81" s="9">
        <f>(1+Table_dat150_[[#This Row],[gt]])^4 -1</f>
        <v>-0.31665572744398651</v>
      </c>
      <c r="J81" s="9">
        <f>$V$18+$V$19*Table_dat150_[[#This Row],[DecDate]]</f>
        <v>786.98807780661991</v>
      </c>
      <c r="K81" s="9">
        <f>$V$37+$V$38*Table_dat150_[[#This Row],[DecDate]]+$V$39*Table_dat150_[[#This Row],[DecDate2]]</f>
        <v>783.25515639019432</v>
      </c>
      <c r="L81" s="9">
        <f>$AF$18+$AF$19*Table_dat150_[[#This Row],[DecDate]]</f>
        <v>6.6644682487390154</v>
      </c>
      <c r="M81" s="9">
        <f>$AF$37+$AF$38*Table_dat150_[[#This Row],[DecDate]]+$AF$39*Table_dat150_[[#This Row],[DecDate2]]</f>
        <v>6.6633741159981525</v>
      </c>
      <c r="N81" s="9">
        <f>Table_dat150_[[#This Row],[LogExpenditure]]-Table_dat150_[[#This Row],[Log Quadratic Trend]]</f>
        <v>-4.1968464234018121E-2</v>
      </c>
      <c r="O81" s="9">
        <f t="shared" si="3"/>
        <v>-1.7445730790452529E-3</v>
      </c>
      <c r="P81" s="9">
        <f>Table_dat150_[[#This Row],[Log Quadratic Trend]]+Table_dat150_[[#This Row],[Cycle]]</f>
        <v>6.6616295429191075</v>
      </c>
      <c r="Q81" s="9">
        <f>Table_dat150_[[#This Row],[LogExpenditure]]-Table_dat150_[[#This Row],[Log Quadratic Trend]]-Table_dat150_[[#This Row],[Cycle]]</f>
        <v>-4.0223891154972866E-2</v>
      </c>
      <c r="R81" s="9">
        <f>AVERAGEIF(Table_dat150_[Quarter], B81, Table_dat150_[High Frequency])</f>
        <v>-2.8472086212635514E-2</v>
      </c>
      <c r="S81" s="9">
        <f>Table_dat150_[[#This Row],[S0]]-AVERAGE($R$6:$R$9)</f>
        <v>-2.8378545544192432E-2</v>
      </c>
    </row>
    <row r="82" spans="1:19" x14ac:dyDescent="0.3">
      <c r="A82">
        <v>1970</v>
      </c>
      <c r="B82">
        <v>1</v>
      </c>
      <c r="C82" s="1">
        <f>DATE(Table_dat150_[[#This Row],[Year]],(Table_dat150_[[#This Row],[Quarter]]-1)*3+2,15)</f>
        <v>25614</v>
      </c>
      <c r="D82">
        <f>Table_dat150_[[#This Row],[Year]]+1/8+(Table_dat150_[[#This Row],[Quarter]]-1)/4</f>
        <v>1970.125</v>
      </c>
      <c r="E82">
        <f>Table_dat150_[[#This Row],[DecDate]]^2</f>
        <v>3881392.515625</v>
      </c>
      <c r="F82">
        <v>746</v>
      </c>
      <c r="G82" s="8">
        <f>LN(Table_dat150_[[#This Row],[Expenditure]])</f>
        <v>6.6147256002037604</v>
      </c>
      <c r="H82" s="9">
        <f t="shared" si="2"/>
        <v>-6.6577896138482022E-3</v>
      </c>
      <c r="I82" s="9">
        <f>(1+Table_dat150_[[#This Row],[gt]])^4 -1</f>
        <v>-2.6366379972388998E-2</v>
      </c>
      <c r="J82" s="9">
        <f>$V$18+$V$19*Table_dat150_[[#This Row],[DecDate]]</f>
        <v>788.29373335044511</v>
      </c>
      <c r="K82" s="9">
        <f>$V$37+$V$38*Table_dat150_[[#This Row],[DecDate]]+$V$39*Table_dat150_[[#This Row],[DecDate2]]</f>
        <v>784.39637774019502</v>
      </c>
      <c r="L82" s="9">
        <f>$AF$18+$AF$19*Table_dat150_[[#This Row],[DecDate]]</f>
        <v>6.6659742774897905</v>
      </c>
      <c r="M82" s="9">
        <f>$AF$37+$AF$38*Table_dat150_[[#This Row],[DecDate]]+$AF$39*Table_dat150_[[#This Row],[DecDate2]]</f>
        <v>6.6648319484932017</v>
      </c>
      <c r="N82" s="9">
        <f>Table_dat150_[[#This Row],[LogExpenditure]]-Table_dat150_[[#This Row],[Log Quadratic Trend]]</f>
        <v>-5.0106348289441272E-2</v>
      </c>
      <c r="O82" s="9">
        <f t="shared" si="3"/>
        <v>3.4855240669639186E-3</v>
      </c>
      <c r="P82" s="9">
        <f>Table_dat150_[[#This Row],[Log Quadratic Trend]]+Table_dat150_[[#This Row],[Cycle]]</f>
        <v>6.6683174725601653</v>
      </c>
      <c r="Q82" s="9">
        <f>Table_dat150_[[#This Row],[LogExpenditure]]-Table_dat150_[[#This Row],[Log Quadratic Trend]]-Table_dat150_[[#This Row],[Cycle]]</f>
        <v>-5.3591872356405189E-2</v>
      </c>
      <c r="R82" s="9">
        <f>AVERAGEIF(Table_dat150_[Quarter], B82, Table_dat150_[High Frequency])</f>
        <v>-4.2281954239907563E-2</v>
      </c>
      <c r="S82" s="9">
        <f>Table_dat150_[[#This Row],[S0]]-AVERAGE($R$6:$R$9)</f>
        <v>-4.2188413571464481E-2</v>
      </c>
    </row>
    <row r="83" spans="1:19" x14ac:dyDescent="0.3">
      <c r="A83">
        <v>1970</v>
      </c>
      <c r="B83">
        <v>2</v>
      </c>
      <c r="C83" s="1">
        <f>DATE(Table_dat150_[[#This Row],[Year]],(Table_dat150_[[#This Row],[Quarter]]-1)*3+2,15)</f>
        <v>25703</v>
      </c>
      <c r="D83">
        <f>Table_dat150_[[#This Row],[Year]]+1/8+(Table_dat150_[[#This Row],[Quarter]]-1)/4</f>
        <v>1970.375</v>
      </c>
      <c r="E83">
        <f>Table_dat150_[[#This Row],[DecDate]]^2</f>
        <v>3882377.640625</v>
      </c>
      <c r="F83">
        <v>795</v>
      </c>
      <c r="G83" s="8">
        <f>LN(Table_dat150_[[#This Row],[Expenditure]])</f>
        <v>6.678342114654332</v>
      </c>
      <c r="H83" s="9">
        <f t="shared" si="2"/>
        <v>6.5683646112600538E-2</v>
      </c>
      <c r="I83" s="9">
        <f>(1+Table_dat150_[[#This Row],[gt]])^4 -1</f>
        <v>0.28977277287784453</v>
      </c>
      <c r="J83" s="9">
        <f>$V$18+$V$19*Table_dat150_[[#This Row],[DecDate]]</f>
        <v>789.59938889427212</v>
      </c>
      <c r="K83" s="9">
        <f>$V$37+$V$38*Table_dat150_[[#This Row],[DecDate]]+$V$39*Table_dat150_[[#This Row],[DecDate2]]</f>
        <v>785.54025125461339</v>
      </c>
      <c r="L83" s="9">
        <f>$AF$18+$AF$19*Table_dat150_[[#This Row],[DecDate]]</f>
        <v>6.6674803062405674</v>
      </c>
      <c r="M83" s="9">
        <f>$AF$37+$AF$38*Table_dat150_[[#This Row],[DecDate]]+$AF$39*Table_dat150_[[#This Row],[DecDate2]]</f>
        <v>6.6662905583472103</v>
      </c>
      <c r="N83" s="9">
        <f>Table_dat150_[[#This Row],[LogExpenditure]]-Table_dat150_[[#This Row],[Log Quadratic Trend]]</f>
        <v>1.2051556307121736E-2</v>
      </c>
      <c r="O83" s="9">
        <f t="shared" si="3"/>
        <v>-9.6898313170955316E-3</v>
      </c>
      <c r="P83" s="9">
        <f>Table_dat150_[[#This Row],[Log Quadratic Trend]]+Table_dat150_[[#This Row],[Cycle]]</f>
        <v>6.6566007270301144</v>
      </c>
      <c r="Q83" s="9">
        <f>Table_dat150_[[#This Row],[LogExpenditure]]-Table_dat150_[[#This Row],[Log Quadratic Trend]]-Table_dat150_[[#This Row],[Cycle]]</f>
        <v>2.1741387624217269E-2</v>
      </c>
      <c r="R83" s="9">
        <f>AVERAGEIF(Table_dat150_[Quarter], B83, Table_dat150_[High Frequency])</f>
        <v>3.2923068860816217E-2</v>
      </c>
      <c r="S83" s="9">
        <f>Table_dat150_[[#This Row],[S0]]-AVERAGE($R$6:$R$9)</f>
        <v>3.3016609529259298E-2</v>
      </c>
    </row>
    <row r="84" spans="1:19" x14ac:dyDescent="0.3">
      <c r="A84">
        <v>1970</v>
      </c>
      <c r="B84">
        <v>3</v>
      </c>
      <c r="C84" s="1">
        <f>DATE(Table_dat150_[[#This Row],[Year]],(Table_dat150_[[#This Row],[Quarter]]-1)*3+2,15)</f>
        <v>25795</v>
      </c>
      <c r="D84">
        <f>Table_dat150_[[#This Row],[Year]]+1/8+(Table_dat150_[[#This Row],[Quarter]]-1)/4</f>
        <v>1970.625</v>
      </c>
      <c r="E84">
        <f>Table_dat150_[[#This Row],[DecDate]]^2</f>
        <v>3883362.890625</v>
      </c>
      <c r="F84">
        <v>821</v>
      </c>
      <c r="G84" s="8">
        <f>LN(Table_dat150_[[#This Row],[Expenditure]])</f>
        <v>6.7105231094524278</v>
      </c>
      <c r="H84" s="9">
        <f t="shared" si="2"/>
        <v>3.270440251572327E-2</v>
      </c>
      <c r="I84" s="9">
        <f>(1+Table_dat150_[[#This Row],[gt]])^4 -1</f>
        <v>0.13737614135373222</v>
      </c>
      <c r="J84" s="9">
        <f>$V$18+$V$19*Table_dat150_[[#This Row],[DecDate]]</f>
        <v>790.90504443809914</v>
      </c>
      <c r="K84" s="9">
        <f>$V$37+$V$38*Table_dat150_[[#This Row],[DecDate]]+$V$39*Table_dat150_[[#This Row],[DecDate2]]</f>
        <v>786.68677693342033</v>
      </c>
      <c r="L84" s="9">
        <f>$AF$18+$AF$19*Table_dat150_[[#This Row],[DecDate]]</f>
        <v>6.6689863349913425</v>
      </c>
      <c r="M84" s="9">
        <f>$AF$37+$AF$38*Table_dat150_[[#This Row],[DecDate]]+$AF$39*Table_dat150_[[#This Row],[DecDate2]]</f>
        <v>6.6677499455601854</v>
      </c>
      <c r="N84" s="9">
        <f>Table_dat150_[[#This Row],[LogExpenditure]]-Table_dat150_[[#This Row],[Log Quadratic Trend]]</f>
        <v>4.2773163892242394E-2</v>
      </c>
      <c r="O84" s="9">
        <f t="shared" si="3"/>
        <v>-1.8196017911963302E-2</v>
      </c>
      <c r="P84" s="9">
        <f>Table_dat150_[[#This Row],[Log Quadratic Trend]]+Table_dat150_[[#This Row],[Cycle]]</f>
        <v>6.6495539276482223</v>
      </c>
      <c r="Q84" s="9">
        <f>Table_dat150_[[#This Row],[LogExpenditure]]-Table_dat150_[[#This Row],[Log Quadratic Trend]]-Table_dat150_[[#This Row],[Cycle]]</f>
        <v>6.0969181804205699E-2</v>
      </c>
      <c r="R84" s="9">
        <f>AVERAGEIF(Table_dat150_[Quarter], B84, Table_dat150_[High Frequency])</f>
        <v>3.7456808917954526E-2</v>
      </c>
      <c r="S84" s="9">
        <f>Table_dat150_[[#This Row],[S0]]-AVERAGE($R$6:$R$9)</f>
        <v>3.7550349586397608E-2</v>
      </c>
    </row>
    <row r="85" spans="1:19" x14ac:dyDescent="0.3">
      <c r="A85">
        <v>1970</v>
      </c>
      <c r="B85">
        <v>4</v>
      </c>
      <c r="C85" s="1">
        <f>DATE(Table_dat150_[[#This Row],[Year]],(Table_dat150_[[#This Row],[Quarter]]-1)*3+2,15)</f>
        <v>25887</v>
      </c>
      <c r="D85">
        <f>Table_dat150_[[#This Row],[Year]]+1/8+(Table_dat150_[[#This Row],[Quarter]]-1)/4</f>
        <v>1970.875</v>
      </c>
      <c r="E85">
        <f>Table_dat150_[[#This Row],[DecDate]]^2</f>
        <v>3884348.265625</v>
      </c>
      <c r="F85">
        <v>779</v>
      </c>
      <c r="G85" s="8">
        <f>LN(Table_dat150_[[#This Row],[Expenditure]])</f>
        <v>6.6580110458707482</v>
      </c>
      <c r="H85" s="9">
        <f t="shared" si="2"/>
        <v>-5.1157125456760051E-2</v>
      </c>
      <c r="I85" s="9">
        <f>(1+Table_dat150_[[#This Row],[gt]])^4 -1</f>
        <v>-0.18945486728315264</v>
      </c>
      <c r="J85" s="9">
        <f>$V$18+$V$19*Table_dat150_[[#This Row],[DecDate]]</f>
        <v>792.21069998192434</v>
      </c>
      <c r="K85" s="9">
        <f>$V$37+$V$38*Table_dat150_[[#This Row],[DecDate]]+$V$39*Table_dat150_[[#This Row],[DecDate2]]</f>
        <v>787.83595477667404</v>
      </c>
      <c r="L85" s="9">
        <f>$AF$18+$AF$19*Table_dat150_[[#This Row],[DecDate]]</f>
        <v>6.6704923637421176</v>
      </c>
      <c r="M85" s="9">
        <f>$AF$37+$AF$38*Table_dat150_[[#This Row],[DecDate]]+$AF$39*Table_dat150_[[#This Row],[DecDate2]]</f>
        <v>6.6692101101321306</v>
      </c>
      <c r="N85" s="9">
        <f>Table_dat150_[[#This Row],[LogExpenditure]]-Table_dat150_[[#This Row],[Log Quadratic Trend]]</f>
        <v>-1.1199064261382397E-2</v>
      </c>
      <c r="O85" s="9">
        <f t="shared" si="3"/>
        <v>-1.2288352041048612E-3</v>
      </c>
      <c r="P85" s="9">
        <f>Table_dat150_[[#This Row],[Log Quadratic Trend]]+Table_dat150_[[#This Row],[Cycle]]</f>
        <v>6.6679812749280254</v>
      </c>
      <c r="Q85" s="9">
        <f>Table_dat150_[[#This Row],[LogExpenditure]]-Table_dat150_[[#This Row],[Log Quadratic Trend]]-Table_dat150_[[#This Row],[Cycle]]</f>
        <v>-9.9702290572775357E-3</v>
      </c>
      <c r="R85" s="9">
        <f>AVERAGEIF(Table_dat150_[Quarter], B85, Table_dat150_[High Frequency])</f>
        <v>-2.8472086212635514E-2</v>
      </c>
      <c r="S85" s="9">
        <f>Table_dat150_[[#This Row],[S0]]-AVERAGE($R$6:$R$9)</f>
        <v>-2.8378545544192432E-2</v>
      </c>
    </row>
    <row r="86" spans="1:19" x14ac:dyDescent="0.3">
      <c r="A86">
        <v>1971</v>
      </c>
      <c r="B86">
        <v>1</v>
      </c>
      <c r="C86" s="1">
        <f>DATE(Table_dat150_[[#This Row],[Year]],(Table_dat150_[[#This Row],[Quarter]]-1)*3+2,15)</f>
        <v>25979</v>
      </c>
      <c r="D86">
        <f>Table_dat150_[[#This Row],[Year]]+1/8+(Table_dat150_[[#This Row],[Quarter]]-1)/4</f>
        <v>1971.125</v>
      </c>
      <c r="E86">
        <f>Table_dat150_[[#This Row],[DecDate]]^2</f>
        <v>3885333.765625</v>
      </c>
      <c r="F86">
        <v>725</v>
      </c>
      <c r="G86" s="8">
        <f>LN(Table_dat150_[[#This Row],[Expenditure]])</f>
        <v>6.5861716548546747</v>
      </c>
      <c r="H86" s="9">
        <f t="shared" si="2"/>
        <v>-6.9319640564826701E-2</v>
      </c>
      <c r="I86" s="9">
        <f>(1+Table_dat150_[[#This Row],[gt]])^4 -1</f>
        <v>-0.24975657921547756</v>
      </c>
      <c r="J86" s="9">
        <f>$V$18+$V$19*Table_dat150_[[#This Row],[DecDate]]</f>
        <v>793.51635552575135</v>
      </c>
      <c r="K86" s="9">
        <f>$V$37+$V$38*Table_dat150_[[#This Row],[DecDate]]+$V$39*Table_dat150_[[#This Row],[DecDate2]]</f>
        <v>788.98778478433087</v>
      </c>
      <c r="L86" s="9">
        <f>$AF$18+$AF$19*Table_dat150_[[#This Row],[DecDate]]</f>
        <v>6.6719983924928927</v>
      </c>
      <c r="M86" s="9">
        <f>$AF$37+$AF$38*Table_dat150_[[#This Row],[DecDate]]+$AF$39*Table_dat150_[[#This Row],[DecDate2]]</f>
        <v>6.6706710520630317</v>
      </c>
      <c r="N86" s="9">
        <f>Table_dat150_[[#This Row],[LogExpenditure]]-Table_dat150_[[#This Row],[Log Quadratic Trend]]</f>
        <v>-8.4499397208356974E-2</v>
      </c>
      <c r="O86" s="9">
        <f t="shared" si="3"/>
        <v>1.788021843686849E-3</v>
      </c>
      <c r="P86" s="9">
        <f>Table_dat150_[[#This Row],[Log Quadratic Trend]]+Table_dat150_[[#This Row],[Cycle]]</f>
        <v>6.6724590739067189</v>
      </c>
      <c r="Q86" s="9">
        <f>Table_dat150_[[#This Row],[LogExpenditure]]-Table_dat150_[[#This Row],[Log Quadratic Trend]]-Table_dat150_[[#This Row],[Cycle]]</f>
        <v>-8.6287419052043818E-2</v>
      </c>
      <c r="R86" s="9">
        <f>AVERAGEIF(Table_dat150_[Quarter], B86, Table_dat150_[High Frequency])</f>
        <v>-4.2281954239907563E-2</v>
      </c>
      <c r="S86" s="9">
        <f>Table_dat150_[[#This Row],[S0]]-AVERAGE($R$6:$R$9)</f>
        <v>-4.2188413571464481E-2</v>
      </c>
    </row>
    <row r="87" spans="1:19" x14ac:dyDescent="0.3">
      <c r="A87">
        <v>1971</v>
      </c>
      <c r="B87">
        <v>2</v>
      </c>
      <c r="C87" s="1">
        <f>DATE(Table_dat150_[[#This Row],[Year]],(Table_dat150_[[#This Row],[Quarter]]-1)*3+2,15)</f>
        <v>26068</v>
      </c>
      <c r="D87">
        <f>Table_dat150_[[#This Row],[Year]]+1/8+(Table_dat150_[[#This Row],[Quarter]]-1)/4</f>
        <v>1971.375</v>
      </c>
      <c r="E87">
        <f>Table_dat150_[[#This Row],[DecDate]]^2</f>
        <v>3886319.390625</v>
      </c>
      <c r="F87">
        <v>818</v>
      </c>
      <c r="G87" s="8">
        <f>LN(Table_dat150_[[#This Row],[Expenditure]])</f>
        <v>6.7068623366027467</v>
      </c>
      <c r="H87" s="9">
        <f t="shared" si="2"/>
        <v>0.12827586206896552</v>
      </c>
      <c r="I87" s="9">
        <f>(1+Table_dat150_[[#This Row],[gt]])^4 -1</f>
        <v>0.62054534772255976</v>
      </c>
      <c r="J87" s="9">
        <f>$V$18+$V$19*Table_dat150_[[#This Row],[DecDate]]</f>
        <v>794.82201106957837</v>
      </c>
      <c r="K87" s="9">
        <f>$V$37+$V$38*Table_dat150_[[#This Row],[DecDate]]+$V$39*Table_dat150_[[#This Row],[DecDate2]]</f>
        <v>790.14226695641992</v>
      </c>
      <c r="L87" s="9">
        <f>$AF$18+$AF$19*Table_dat150_[[#This Row],[DecDate]]</f>
        <v>6.6735044212436678</v>
      </c>
      <c r="M87" s="9">
        <f>$AF$37+$AF$38*Table_dat150_[[#This Row],[DecDate]]+$AF$39*Table_dat150_[[#This Row],[DecDate2]]</f>
        <v>6.6721327713528957</v>
      </c>
      <c r="N87" s="9">
        <f>Table_dat150_[[#This Row],[LogExpenditure]]-Table_dat150_[[#This Row],[Log Quadratic Trend]]</f>
        <v>3.4729565249850936E-2</v>
      </c>
      <c r="O87" s="9">
        <f t="shared" si="3"/>
        <v>-1.6699845735074346E-2</v>
      </c>
      <c r="P87" s="9">
        <f>Table_dat150_[[#This Row],[Log Quadratic Trend]]+Table_dat150_[[#This Row],[Cycle]]</f>
        <v>6.6554329256178217</v>
      </c>
      <c r="Q87" s="9">
        <f>Table_dat150_[[#This Row],[LogExpenditure]]-Table_dat150_[[#This Row],[Log Quadratic Trend]]-Table_dat150_[[#This Row],[Cycle]]</f>
        <v>5.1429410984925282E-2</v>
      </c>
      <c r="R87" s="9">
        <f>AVERAGEIF(Table_dat150_[Quarter], B87, Table_dat150_[High Frequency])</f>
        <v>3.2923068860816217E-2</v>
      </c>
      <c r="S87" s="9">
        <f>Table_dat150_[[#This Row],[S0]]-AVERAGE($R$6:$R$9)</f>
        <v>3.3016609529259298E-2</v>
      </c>
    </row>
    <row r="88" spans="1:19" x14ac:dyDescent="0.3">
      <c r="A88">
        <v>1971</v>
      </c>
      <c r="B88">
        <v>3</v>
      </c>
      <c r="C88" s="1">
        <f>DATE(Table_dat150_[[#This Row],[Year]],(Table_dat150_[[#This Row],[Quarter]]-1)*3+2,15)</f>
        <v>26160</v>
      </c>
      <c r="D88">
        <f>Table_dat150_[[#This Row],[Year]]+1/8+(Table_dat150_[[#This Row],[Quarter]]-1)/4</f>
        <v>1971.625</v>
      </c>
      <c r="E88">
        <f>Table_dat150_[[#This Row],[DecDate]]^2</f>
        <v>3887305.140625</v>
      </c>
      <c r="F88">
        <v>813</v>
      </c>
      <c r="G88" s="8">
        <f>LN(Table_dat150_[[#This Row],[Expenditure]])</f>
        <v>6.7007311095478101</v>
      </c>
      <c r="H88" s="9">
        <f t="shared" si="2"/>
        <v>-6.1124694376528121E-3</v>
      </c>
      <c r="I88" s="9">
        <f>(1+Table_dat150_[[#This Row],[gt]])^4 -1</f>
        <v>-2.4226616162156711E-2</v>
      </c>
      <c r="J88" s="9">
        <f>$V$18+$V$19*Table_dat150_[[#This Row],[DecDate]]</f>
        <v>796.12766661340538</v>
      </c>
      <c r="K88" s="9">
        <f>$V$37+$V$38*Table_dat150_[[#This Row],[DecDate]]+$V$39*Table_dat150_[[#This Row],[DecDate2]]</f>
        <v>791.29940129291208</v>
      </c>
      <c r="L88" s="9">
        <f>$AF$18+$AF$19*Table_dat150_[[#This Row],[DecDate]]</f>
        <v>6.6750104499944429</v>
      </c>
      <c r="M88" s="9">
        <f>$AF$37+$AF$38*Table_dat150_[[#This Row],[DecDate]]+$AF$39*Table_dat150_[[#This Row],[DecDate2]]</f>
        <v>6.6735952680017299</v>
      </c>
      <c r="N88" s="9">
        <f>Table_dat150_[[#This Row],[LogExpenditure]]-Table_dat150_[[#This Row],[Log Quadratic Trend]]</f>
        <v>2.7135841546080286E-2</v>
      </c>
      <c r="O88" s="9">
        <f t="shared" si="3"/>
        <v>-3.0335411180722895E-2</v>
      </c>
      <c r="P88" s="9">
        <f>Table_dat150_[[#This Row],[Log Quadratic Trend]]+Table_dat150_[[#This Row],[Cycle]]</f>
        <v>6.6432598568210066</v>
      </c>
      <c r="Q88" s="9">
        <f>Table_dat150_[[#This Row],[LogExpenditure]]-Table_dat150_[[#This Row],[Log Quadratic Trend]]-Table_dat150_[[#This Row],[Cycle]]</f>
        <v>5.7471252726803181E-2</v>
      </c>
      <c r="R88" s="9">
        <f>AVERAGEIF(Table_dat150_[Quarter], B88, Table_dat150_[High Frequency])</f>
        <v>3.7456808917954526E-2</v>
      </c>
      <c r="S88" s="9">
        <f>Table_dat150_[[#This Row],[S0]]-AVERAGE($R$6:$R$9)</f>
        <v>3.7550349586397608E-2</v>
      </c>
    </row>
    <row r="89" spans="1:19" x14ac:dyDescent="0.3">
      <c r="A89">
        <v>1971</v>
      </c>
      <c r="B89">
        <v>4</v>
      </c>
      <c r="C89" s="1">
        <f>DATE(Table_dat150_[[#This Row],[Year]],(Table_dat150_[[#This Row],[Quarter]]-1)*3+2,15)</f>
        <v>26252</v>
      </c>
      <c r="D89">
        <f>Table_dat150_[[#This Row],[Year]]+1/8+(Table_dat150_[[#This Row],[Quarter]]-1)/4</f>
        <v>1971.875</v>
      </c>
      <c r="E89">
        <f>Table_dat150_[[#This Row],[DecDate]]^2</f>
        <v>3888291.015625</v>
      </c>
      <c r="F89">
        <v>754</v>
      </c>
      <c r="G89" s="8">
        <f>LN(Table_dat150_[[#This Row],[Expenditure]])</f>
        <v>6.6253923680079563</v>
      </c>
      <c r="H89" s="9">
        <f t="shared" si="2"/>
        <v>-7.2570725707257075E-2</v>
      </c>
      <c r="I89" s="9">
        <f>(1+Table_dat150_[[#This Row],[gt]])^4 -1</f>
        <v>-0.26018488319821109</v>
      </c>
      <c r="J89" s="9">
        <f>$V$18+$V$19*Table_dat150_[[#This Row],[DecDate]]</f>
        <v>797.43332215723058</v>
      </c>
      <c r="K89" s="9">
        <f>$V$37+$V$38*Table_dat150_[[#This Row],[DecDate]]+$V$39*Table_dat150_[[#This Row],[DecDate2]]</f>
        <v>792.45918779383646</v>
      </c>
      <c r="L89" s="9">
        <f>$AF$18+$AF$19*Table_dat150_[[#This Row],[DecDate]]</f>
        <v>6.6765164787452198</v>
      </c>
      <c r="M89" s="9">
        <f>$AF$37+$AF$38*Table_dat150_[[#This Row],[DecDate]]+$AF$39*Table_dat150_[[#This Row],[DecDate2]]</f>
        <v>6.6750585420095199</v>
      </c>
      <c r="N89" s="9">
        <f>Table_dat150_[[#This Row],[LogExpenditure]]-Table_dat150_[[#This Row],[Log Quadratic Trend]]</f>
        <v>-4.966617400156359E-2</v>
      </c>
      <c r="O89" s="9">
        <f t="shared" si="3"/>
        <v>-8.1501451666300181E-3</v>
      </c>
      <c r="P89" s="9">
        <f>Table_dat150_[[#This Row],[Log Quadratic Trend]]+Table_dat150_[[#This Row],[Cycle]]</f>
        <v>6.6669083968428895</v>
      </c>
      <c r="Q89" s="9">
        <f>Table_dat150_[[#This Row],[LogExpenditure]]-Table_dat150_[[#This Row],[Log Quadratic Trend]]-Table_dat150_[[#This Row],[Cycle]]</f>
        <v>-4.151602883493357E-2</v>
      </c>
      <c r="R89" s="9">
        <f>AVERAGEIF(Table_dat150_[Quarter], B89, Table_dat150_[High Frequency])</f>
        <v>-2.8472086212635514E-2</v>
      </c>
      <c r="S89" s="9">
        <f>Table_dat150_[[#This Row],[S0]]-AVERAGE($R$6:$R$9)</f>
        <v>-2.8378545544192432E-2</v>
      </c>
    </row>
    <row r="90" spans="1:19" x14ac:dyDescent="0.3">
      <c r="A90">
        <v>1972</v>
      </c>
      <c r="B90">
        <v>1</v>
      </c>
      <c r="C90" s="1">
        <f>DATE(Table_dat150_[[#This Row],[Year]],(Table_dat150_[[#This Row],[Quarter]]-1)*3+2,15)</f>
        <v>26344</v>
      </c>
      <c r="D90">
        <f>Table_dat150_[[#This Row],[Year]]+1/8+(Table_dat150_[[#This Row],[Quarter]]-1)/4</f>
        <v>1972.125</v>
      </c>
      <c r="E90">
        <f>Table_dat150_[[#This Row],[DecDate]]^2</f>
        <v>3889277.015625</v>
      </c>
      <c r="F90">
        <v>733</v>
      </c>
      <c r="G90" s="8">
        <f>LN(Table_dat150_[[#This Row],[Expenditure]])</f>
        <v>6.5971457018866513</v>
      </c>
      <c r="H90" s="9">
        <f t="shared" si="2"/>
        <v>-2.7851458885941646E-2</v>
      </c>
      <c r="I90" s="9">
        <f>(1+Table_dat150_[[#This Row],[gt]])^4 -1</f>
        <v>-0.1068374291807368</v>
      </c>
      <c r="J90" s="9">
        <f>$V$18+$V$19*Table_dat150_[[#This Row],[DecDate]]</f>
        <v>798.73897770105759</v>
      </c>
      <c r="K90" s="9">
        <f>$V$37+$V$38*Table_dat150_[[#This Row],[DecDate]]+$V$39*Table_dat150_[[#This Row],[DecDate2]]</f>
        <v>793.62162645916396</v>
      </c>
      <c r="L90" s="9">
        <f>$AF$18+$AF$19*Table_dat150_[[#This Row],[DecDate]]</f>
        <v>6.6780225074959949</v>
      </c>
      <c r="M90" s="9">
        <f>$AF$37+$AF$38*Table_dat150_[[#This Row],[DecDate]]+$AF$39*Table_dat150_[[#This Row],[DecDate2]]</f>
        <v>6.6765225933762764</v>
      </c>
      <c r="N90" s="9">
        <f>Table_dat150_[[#This Row],[LogExpenditure]]-Table_dat150_[[#This Row],[Log Quadratic Trend]]</f>
        <v>-7.9376891489625123E-2</v>
      </c>
      <c r="O90" s="9">
        <f t="shared" si="3"/>
        <v>-4.7830437575200335E-3</v>
      </c>
      <c r="P90" s="9">
        <f>Table_dat150_[[#This Row],[Log Quadratic Trend]]+Table_dat150_[[#This Row],[Cycle]]</f>
        <v>6.6717395496187564</v>
      </c>
      <c r="Q90" s="9">
        <f>Table_dat150_[[#This Row],[LogExpenditure]]-Table_dat150_[[#This Row],[Log Quadratic Trend]]-Table_dat150_[[#This Row],[Cycle]]</f>
        <v>-7.459384773210509E-2</v>
      </c>
      <c r="R90" s="9">
        <f>AVERAGEIF(Table_dat150_[Quarter], B90, Table_dat150_[High Frequency])</f>
        <v>-4.2281954239907563E-2</v>
      </c>
      <c r="S90" s="9">
        <f>Table_dat150_[[#This Row],[S0]]-AVERAGE($R$6:$R$9)</f>
        <v>-4.2188413571464481E-2</v>
      </c>
    </row>
    <row r="91" spans="1:19" x14ac:dyDescent="0.3">
      <c r="A91">
        <v>1972</v>
      </c>
      <c r="B91">
        <v>2</v>
      </c>
      <c r="C91" s="1">
        <f>DATE(Table_dat150_[[#This Row],[Year]],(Table_dat150_[[#This Row],[Quarter]]-1)*3+2,15)</f>
        <v>26434</v>
      </c>
      <c r="D91">
        <f>Table_dat150_[[#This Row],[Year]]+1/8+(Table_dat150_[[#This Row],[Quarter]]-1)/4</f>
        <v>1972.375</v>
      </c>
      <c r="E91">
        <f>Table_dat150_[[#This Row],[DecDate]]^2</f>
        <v>3890263.140625</v>
      </c>
      <c r="F91">
        <v>816</v>
      </c>
      <c r="G91" s="8">
        <f>LN(Table_dat150_[[#This Row],[Expenditure]])</f>
        <v>6.7044143549641069</v>
      </c>
      <c r="H91" s="9">
        <f t="shared" si="2"/>
        <v>0.11323328785811733</v>
      </c>
      <c r="I91" s="9">
        <f>(1+Table_dat150_[[#This Row],[gt]])^4 -1</f>
        <v>0.535835622365751</v>
      </c>
      <c r="J91" s="9">
        <f>$V$18+$V$19*Table_dat150_[[#This Row],[DecDate]]</f>
        <v>800.04463324488461</v>
      </c>
      <c r="K91" s="9">
        <f>$V$37+$V$38*Table_dat150_[[#This Row],[DecDate]]+$V$39*Table_dat150_[[#This Row],[DecDate2]]</f>
        <v>794.78671728888003</v>
      </c>
      <c r="L91" s="9">
        <f>$AF$18+$AF$19*Table_dat150_[[#This Row],[DecDate]]</f>
        <v>6.67952853624677</v>
      </c>
      <c r="M91" s="9">
        <f>$AF$37+$AF$38*Table_dat150_[[#This Row],[DecDate]]+$AF$39*Table_dat150_[[#This Row],[DecDate2]]</f>
        <v>6.6779874221019995</v>
      </c>
      <c r="N91" s="9">
        <f>Table_dat150_[[#This Row],[LogExpenditure]]-Table_dat150_[[#This Row],[Log Quadratic Trend]]</f>
        <v>2.64269328621074E-2</v>
      </c>
      <c r="O91" s="9">
        <f t="shared" si="3"/>
        <v>-1.8418927627493708E-2</v>
      </c>
      <c r="P91" s="9">
        <f>Table_dat150_[[#This Row],[Log Quadratic Trend]]+Table_dat150_[[#This Row],[Cycle]]</f>
        <v>6.6595684944745059</v>
      </c>
      <c r="Q91" s="9">
        <f>Table_dat150_[[#This Row],[LogExpenditure]]-Table_dat150_[[#This Row],[Log Quadratic Trend]]-Table_dat150_[[#This Row],[Cycle]]</f>
        <v>4.4845860489601111E-2</v>
      </c>
      <c r="R91" s="9">
        <f>AVERAGEIF(Table_dat150_[Quarter], B91, Table_dat150_[High Frequency])</f>
        <v>3.2923068860816217E-2</v>
      </c>
      <c r="S91" s="9">
        <f>Table_dat150_[[#This Row],[S0]]-AVERAGE($R$6:$R$9)</f>
        <v>3.3016609529259298E-2</v>
      </c>
    </row>
    <row r="92" spans="1:19" x14ac:dyDescent="0.3">
      <c r="A92">
        <v>1972</v>
      </c>
      <c r="B92">
        <v>3</v>
      </c>
      <c r="C92" s="1">
        <f>DATE(Table_dat150_[[#This Row],[Year]],(Table_dat150_[[#This Row],[Quarter]]-1)*3+2,15)</f>
        <v>26526</v>
      </c>
      <c r="D92">
        <f>Table_dat150_[[#This Row],[Year]]+1/8+(Table_dat150_[[#This Row],[Quarter]]-1)/4</f>
        <v>1972.625</v>
      </c>
      <c r="E92">
        <f>Table_dat150_[[#This Row],[DecDate]]^2</f>
        <v>3891249.390625</v>
      </c>
      <c r="F92">
        <v>838</v>
      </c>
      <c r="G92" s="8">
        <f>LN(Table_dat150_[[#This Row],[Expenditure]])</f>
        <v>6.7310181004820828</v>
      </c>
      <c r="H92" s="9">
        <f t="shared" si="2"/>
        <v>2.6960784313725492E-2</v>
      </c>
      <c r="I92" s="9">
        <f>(1+Table_dat150_[[#This Row],[gt]])^4 -1</f>
        <v>0.1122833583991647</v>
      </c>
      <c r="J92" s="9">
        <f>$V$18+$V$19*Table_dat150_[[#This Row],[DecDate]]</f>
        <v>801.3502887887098</v>
      </c>
      <c r="K92" s="9">
        <f>$V$37+$V$38*Table_dat150_[[#This Row],[DecDate]]+$V$39*Table_dat150_[[#This Row],[DecDate2]]</f>
        <v>795.95446028304286</v>
      </c>
      <c r="L92" s="9">
        <f>$AF$18+$AF$19*Table_dat150_[[#This Row],[DecDate]]</f>
        <v>6.6810345649975451</v>
      </c>
      <c r="M92" s="9">
        <f>$AF$37+$AF$38*Table_dat150_[[#This Row],[DecDate]]+$AF$39*Table_dat150_[[#This Row],[DecDate2]]</f>
        <v>6.679453028186682</v>
      </c>
      <c r="N92" s="9">
        <f>Table_dat150_[[#This Row],[LogExpenditure]]-Table_dat150_[[#This Row],[Log Quadratic Trend]]</f>
        <v>5.156507229540086E-2</v>
      </c>
      <c r="O92" s="9">
        <f t="shared" si="3"/>
        <v>-2.174997028720398E-2</v>
      </c>
      <c r="P92" s="9">
        <f>Table_dat150_[[#This Row],[Log Quadratic Trend]]+Table_dat150_[[#This Row],[Cycle]]</f>
        <v>6.6577030578994778</v>
      </c>
      <c r="Q92" s="9">
        <f>Table_dat150_[[#This Row],[LogExpenditure]]-Table_dat150_[[#This Row],[Log Quadratic Trend]]-Table_dat150_[[#This Row],[Cycle]]</f>
        <v>7.3315042582604836E-2</v>
      </c>
      <c r="R92" s="9">
        <f>AVERAGEIF(Table_dat150_[Quarter], B92, Table_dat150_[High Frequency])</f>
        <v>3.7456808917954526E-2</v>
      </c>
      <c r="S92" s="9">
        <f>Table_dat150_[[#This Row],[S0]]-AVERAGE($R$6:$R$9)</f>
        <v>3.7550349586397608E-2</v>
      </c>
    </row>
    <row r="93" spans="1:19" x14ac:dyDescent="0.3">
      <c r="A93">
        <v>1972</v>
      </c>
      <c r="B93">
        <v>4</v>
      </c>
      <c r="C93" s="1">
        <f>DATE(Table_dat150_[[#This Row],[Year]],(Table_dat150_[[#This Row],[Quarter]]-1)*3+2,15)</f>
        <v>26618</v>
      </c>
      <c r="D93">
        <f>Table_dat150_[[#This Row],[Year]]+1/8+(Table_dat150_[[#This Row],[Quarter]]-1)/4</f>
        <v>1972.875</v>
      </c>
      <c r="E93">
        <f>Table_dat150_[[#This Row],[DecDate]]^2</f>
        <v>3892235.765625</v>
      </c>
      <c r="F93">
        <v>765</v>
      </c>
      <c r="G93" s="8">
        <f>LN(Table_dat150_[[#This Row],[Expenditure]])</f>
        <v>6.6398758338265358</v>
      </c>
      <c r="H93" s="9">
        <f t="shared" si="2"/>
        <v>-8.7112171837708835E-2</v>
      </c>
      <c r="I93" s="9">
        <f>(1+Table_dat150_[[#This Row],[gt]])^4 -1</f>
        <v>-0.30550413214773287</v>
      </c>
      <c r="J93" s="9">
        <f>$V$18+$V$19*Table_dat150_[[#This Row],[DecDate]]</f>
        <v>802.65594433253682</v>
      </c>
      <c r="K93" s="9">
        <f>$V$37+$V$38*Table_dat150_[[#This Row],[DecDate]]+$V$39*Table_dat150_[[#This Row],[DecDate2]]</f>
        <v>797.12485544162337</v>
      </c>
      <c r="L93" s="9">
        <f>$AF$18+$AF$19*Table_dat150_[[#This Row],[DecDate]]</f>
        <v>6.6825405937483202</v>
      </c>
      <c r="M93" s="9">
        <f>$AF$37+$AF$38*Table_dat150_[[#This Row],[DecDate]]+$AF$39*Table_dat150_[[#This Row],[DecDate2]]</f>
        <v>6.6809194116303239</v>
      </c>
      <c r="N93" s="9">
        <f>Table_dat150_[[#This Row],[LogExpenditure]]-Table_dat150_[[#This Row],[Log Quadratic Trend]]</f>
        <v>-4.1043577803788089E-2</v>
      </c>
      <c r="O93" s="9">
        <f t="shared" si="3"/>
        <v>6.7346059601440804E-4</v>
      </c>
      <c r="P93" s="9">
        <f>Table_dat150_[[#This Row],[Log Quadratic Trend]]+Table_dat150_[[#This Row],[Cycle]]</f>
        <v>6.6815928722263385</v>
      </c>
      <c r="Q93" s="9">
        <f>Table_dat150_[[#This Row],[LogExpenditure]]-Table_dat150_[[#This Row],[Log Quadratic Trend]]-Table_dat150_[[#This Row],[Cycle]]</f>
        <v>-4.1717038399802495E-2</v>
      </c>
      <c r="R93" s="9">
        <f>AVERAGEIF(Table_dat150_[Quarter], B93, Table_dat150_[High Frequency])</f>
        <v>-2.8472086212635514E-2</v>
      </c>
      <c r="S93" s="9">
        <f>Table_dat150_[[#This Row],[S0]]-AVERAGE($R$6:$R$9)</f>
        <v>-2.8378545544192432E-2</v>
      </c>
    </row>
    <row r="94" spans="1:19" x14ac:dyDescent="0.3">
      <c r="A94">
        <v>1973</v>
      </c>
      <c r="B94">
        <v>1</v>
      </c>
      <c r="C94" s="1">
        <f>DATE(Table_dat150_[[#This Row],[Year]],(Table_dat150_[[#This Row],[Quarter]]-1)*3+2,15)</f>
        <v>26710</v>
      </c>
      <c r="D94">
        <f>Table_dat150_[[#This Row],[Year]]+1/8+(Table_dat150_[[#This Row],[Quarter]]-1)/4</f>
        <v>1973.125</v>
      </c>
      <c r="E94">
        <f>Table_dat150_[[#This Row],[DecDate]]^2</f>
        <v>3893222.265625</v>
      </c>
      <c r="F94">
        <v>747</v>
      </c>
      <c r="G94" s="8">
        <f>LN(Table_dat150_[[#This Row],[Expenditure]])</f>
        <v>6.6160651851328174</v>
      </c>
      <c r="H94" s="9">
        <f t="shared" si="2"/>
        <v>-2.3529411764705882E-2</v>
      </c>
      <c r="I94" s="9">
        <f>(1+Table_dat150_[[#This Row],[gt]])^4 -1</f>
        <v>-9.0847647896936223E-2</v>
      </c>
      <c r="J94" s="9">
        <f>$V$18+$V$19*Table_dat150_[[#This Row],[DecDate]]</f>
        <v>803.96159987636383</v>
      </c>
      <c r="K94" s="9">
        <f>$V$37+$V$38*Table_dat150_[[#This Row],[DecDate]]+$V$39*Table_dat150_[[#This Row],[DecDate2]]</f>
        <v>798.29790276462154</v>
      </c>
      <c r="L94" s="9">
        <f>$AF$18+$AF$19*Table_dat150_[[#This Row],[DecDate]]</f>
        <v>6.6840466224990971</v>
      </c>
      <c r="M94" s="9">
        <f>$AF$37+$AF$38*Table_dat150_[[#This Row],[DecDate]]+$AF$39*Table_dat150_[[#This Row],[DecDate2]]</f>
        <v>6.6823865724329323</v>
      </c>
      <c r="N94" s="9">
        <f>Table_dat150_[[#This Row],[LogExpenditure]]-Table_dat150_[[#This Row],[Log Quadratic Trend]]</f>
        <v>-6.6321387300114942E-2</v>
      </c>
      <c r="O94" s="9">
        <f t="shared" si="3"/>
        <v>5.9539277197753647E-3</v>
      </c>
      <c r="P94" s="9">
        <f>Table_dat150_[[#This Row],[Log Quadratic Trend]]+Table_dat150_[[#This Row],[Cycle]]</f>
        <v>6.6883405001527079</v>
      </c>
      <c r="Q94" s="9">
        <f>Table_dat150_[[#This Row],[LogExpenditure]]-Table_dat150_[[#This Row],[Log Quadratic Trend]]-Table_dat150_[[#This Row],[Cycle]]</f>
        <v>-7.2275315019890304E-2</v>
      </c>
      <c r="R94" s="9">
        <f>AVERAGEIF(Table_dat150_[Quarter], B94, Table_dat150_[High Frequency])</f>
        <v>-4.2281954239907563E-2</v>
      </c>
      <c r="S94" s="9">
        <f>Table_dat150_[[#This Row],[S0]]-AVERAGE($R$6:$R$9)</f>
        <v>-4.2188413571464481E-2</v>
      </c>
    </row>
    <row r="95" spans="1:19" x14ac:dyDescent="0.3">
      <c r="A95">
        <v>1973</v>
      </c>
      <c r="B95">
        <v>2</v>
      </c>
      <c r="C95" s="1">
        <f>DATE(Table_dat150_[[#This Row],[Year]],(Table_dat150_[[#This Row],[Quarter]]-1)*3+2,15)</f>
        <v>26799</v>
      </c>
      <c r="D95">
        <f>Table_dat150_[[#This Row],[Year]]+1/8+(Table_dat150_[[#This Row],[Quarter]]-1)/4</f>
        <v>1973.375</v>
      </c>
      <c r="E95">
        <f>Table_dat150_[[#This Row],[DecDate]]^2</f>
        <v>3894208.890625</v>
      </c>
      <c r="F95">
        <v>826</v>
      </c>
      <c r="G95" s="8">
        <f>LN(Table_dat150_[[#This Row],[Expenditure]])</f>
        <v>6.7165947735209777</v>
      </c>
      <c r="H95" s="9">
        <f t="shared" si="2"/>
        <v>0.10575635876840696</v>
      </c>
      <c r="I95" s="9">
        <f>(1+Table_dat150_[[#This Row],[gt]])^4 -1</f>
        <v>0.49498825937754143</v>
      </c>
      <c r="J95" s="9">
        <f>$V$18+$V$19*Table_dat150_[[#This Row],[DecDate]]</f>
        <v>805.26725542018903</v>
      </c>
      <c r="K95" s="9">
        <f>$V$37+$V$38*Table_dat150_[[#This Row],[DecDate]]+$V$39*Table_dat150_[[#This Row],[DecDate2]]</f>
        <v>799.47360225203738</v>
      </c>
      <c r="L95" s="9">
        <f>$AF$18+$AF$19*Table_dat150_[[#This Row],[DecDate]]</f>
        <v>6.6855526512498722</v>
      </c>
      <c r="M95" s="9">
        <f>$AF$37+$AF$38*Table_dat150_[[#This Row],[DecDate]]+$AF$39*Table_dat150_[[#This Row],[DecDate2]]</f>
        <v>6.6838545105945109</v>
      </c>
      <c r="N95" s="9">
        <f>Table_dat150_[[#This Row],[LogExpenditure]]-Table_dat150_[[#This Row],[Log Quadratic Trend]]</f>
        <v>3.2740262926466812E-2</v>
      </c>
      <c r="O95" s="9">
        <f t="shared" si="3"/>
        <v>-1.1661820820728152E-2</v>
      </c>
      <c r="P95" s="9">
        <f>Table_dat150_[[#This Row],[Log Quadratic Trend]]+Table_dat150_[[#This Row],[Cycle]]</f>
        <v>6.6721926897737829</v>
      </c>
      <c r="Q95" s="9">
        <f>Table_dat150_[[#This Row],[LogExpenditure]]-Table_dat150_[[#This Row],[Log Quadratic Trend]]-Table_dat150_[[#This Row],[Cycle]]</f>
        <v>4.4402083747194968E-2</v>
      </c>
      <c r="R95" s="9">
        <f>AVERAGEIF(Table_dat150_[Quarter], B95, Table_dat150_[High Frequency])</f>
        <v>3.2923068860816217E-2</v>
      </c>
      <c r="S95" s="9">
        <f>Table_dat150_[[#This Row],[S0]]-AVERAGE($R$6:$R$9)</f>
        <v>3.3016609529259298E-2</v>
      </c>
    </row>
    <row r="96" spans="1:19" x14ac:dyDescent="0.3">
      <c r="A96">
        <v>1973</v>
      </c>
      <c r="B96">
        <v>3</v>
      </c>
      <c r="C96" s="1">
        <f>DATE(Table_dat150_[[#This Row],[Year]],(Table_dat150_[[#This Row],[Quarter]]-1)*3+2,15)</f>
        <v>26891</v>
      </c>
      <c r="D96">
        <f>Table_dat150_[[#This Row],[Year]]+1/8+(Table_dat150_[[#This Row],[Quarter]]-1)/4</f>
        <v>1973.625</v>
      </c>
      <c r="E96">
        <f>Table_dat150_[[#This Row],[DecDate]]^2</f>
        <v>3895195.640625</v>
      </c>
      <c r="F96">
        <v>844</v>
      </c>
      <c r="G96" s="8">
        <f>LN(Table_dat150_[[#This Row],[Expenditure]])</f>
        <v>6.7381524945959574</v>
      </c>
      <c r="H96" s="9">
        <f t="shared" si="2"/>
        <v>2.1791767554479417E-2</v>
      </c>
      <c r="I96" s="9">
        <f>(1+Table_dat150_[[#This Row],[gt]])^4 -1</f>
        <v>9.0057976525977468E-2</v>
      </c>
      <c r="J96" s="9">
        <f>$V$18+$V$19*Table_dat150_[[#This Row],[DecDate]]</f>
        <v>806.57291096401605</v>
      </c>
      <c r="K96" s="9">
        <f>$V$37+$V$38*Table_dat150_[[#This Row],[DecDate]]+$V$39*Table_dat150_[[#This Row],[DecDate2]]</f>
        <v>800.65195390387089</v>
      </c>
      <c r="L96" s="9">
        <f>$AF$18+$AF$19*Table_dat150_[[#This Row],[DecDate]]</f>
        <v>6.6870586800006473</v>
      </c>
      <c r="M96" s="9">
        <f>$AF$37+$AF$38*Table_dat150_[[#This Row],[DecDate]]+$AF$39*Table_dat150_[[#This Row],[DecDate2]]</f>
        <v>6.6853232261150453</v>
      </c>
      <c r="N96" s="9">
        <f>Table_dat150_[[#This Row],[LogExpenditure]]-Table_dat150_[[#This Row],[Log Quadratic Trend]]</f>
        <v>5.2829268480912184E-2</v>
      </c>
      <c r="O96" s="9">
        <f t="shared" si="3"/>
        <v>-1.5233052419082859E-2</v>
      </c>
      <c r="P96" s="9">
        <f>Table_dat150_[[#This Row],[Log Quadratic Trend]]+Table_dat150_[[#This Row],[Cycle]]</f>
        <v>6.6700901736959626</v>
      </c>
      <c r="Q96" s="9">
        <f>Table_dat150_[[#This Row],[LogExpenditure]]-Table_dat150_[[#This Row],[Log Quadratic Trend]]-Table_dat150_[[#This Row],[Cycle]]</f>
        <v>6.8062320899995046E-2</v>
      </c>
      <c r="R96" s="9">
        <f>AVERAGEIF(Table_dat150_[Quarter], B96, Table_dat150_[High Frequency])</f>
        <v>3.7456808917954526E-2</v>
      </c>
      <c r="S96" s="9">
        <f>Table_dat150_[[#This Row],[S0]]-AVERAGE($R$6:$R$9)</f>
        <v>3.7550349586397608E-2</v>
      </c>
    </row>
    <row r="97" spans="1:19" x14ac:dyDescent="0.3">
      <c r="A97">
        <v>1973</v>
      </c>
      <c r="B97">
        <v>4</v>
      </c>
      <c r="C97" s="1">
        <f>DATE(Table_dat150_[[#This Row],[Year]],(Table_dat150_[[#This Row],[Quarter]]-1)*3+2,15)</f>
        <v>26983</v>
      </c>
      <c r="D97">
        <f>Table_dat150_[[#This Row],[Year]]+1/8+(Table_dat150_[[#This Row],[Quarter]]-1)/4</f>
        <v>1973.875</v>
      </c>
      <c r="E97">
        <f>Table_dat150_[[#This Row],[DecDate]]^2</f>
        <v>3896182.515625</v>
      </c>
      <c r="F97">
        <v>773</v>
      </c>
      <c r="G97" s="8">
        <f>LN(Table_dat150_[[#This Row],[Expenditure]])</f>
        <v>6.6502790485874224</v>
      </c>
      <c r="H97" s="9">
        <f t="shared" si="2"/>
        <v>-8.412322274881516E-2</v>
      </c>
      <c r="I97" s="9">
        <f>(1+Table_dat150_[[#This Row],[gt]])^4 -1</f>
        <v>-0.29636377627285149</v>
      </c>
      <c r="J97" s="9">
        <f>$V$18+$V$19*Table_dat150_[[#This Row],[DecDate]]</f>
        <v>807.87856650784306</v>
      </c>
      <c r="K97" s="9">
        <f>$V$37+$V$38*Table_dat150_[[#This Row],[DecDate]]+$V$39*Table_dat150_[[#This Row],[DecDate2]]</f>
        <v>801.83295772009296</v>
      </c>
      <c r="L97" s="9">
        <f>$AF$18+$AF$19*Table_dat150_[[#This Row],[DecDate]]</f>
        <v>6.6885647087514224</v>
      </c>
      <c r="M97" s="9">
        <f>$AF$37+$AF$38*Table_dat150_[[#This Row],[DecDate]]+$AF$39*Table_dat150_[[#This Row],[DecDate2]]</f>
        <v>6.6867927189945391</v>
      </c>
      <c r="N97" s="9">
        <f>Table_dat150_[[#This Row],[LogExpenditure]]-Table_dat150_[[#This Row],[Log Quadratic Trend]]</f>
        <v>-3.6513670407116727E-2</v>
      </c>
      <c r="O97" s="9">
        <f t="shared" si="3"/>
        <v>-8.8275122516170874E-3</v>
      </c>
      <c r="P97" s="9">
        <f>Table_dat150_[[#This Row],[Log Quadratic Trend]]+Table_dat150_[[#This Row],[Cycle]]</f>
        <v>6.6779652067429218</v>
      </c>
      <c r="Q97" s="9">
        <f>Table_dat150_[[#This Row],[LogExpenditure]]-Table_dat150_[[#This Row],[Log Quadratic Trend]]-Table_dat150_[[#This Row],[Cycle]]</f>
        <v>-2.768615815549964E-2</v>
      </c>
      <c r="R97" s="9">
        <f>AVERAGEIF(Table_dat150_[Quarter], B97, Table_dat150_[High Frequency])</f>
        <v>-2.8472086212635514E-2</v>
      </c>
      <c r="S97" s="9">
        <f>Table_dat150_[[#This Row],[S0]]-AVERAGE($R$6:$R$9)</f>
        <v>-2.8378545544192432E-2</v>
      </c>
    </row>
    <row r="98" spans="1:19" x14ac:dyDescent="0.3">
      <c r="A98">
        <v>1974</v>
      </c>
      <c r="B98">
        <v>1</v>
      </c>
      <c r="C98" s="1">
        <f>DATE(Table_dat150_[[#This Row],[Year]],(Table_dat150_[[#This Row],[Quarter]]-1)*3+2,15)</f>
        <v>27075</v>
      </c>
      <c r="D98">
        <f>Table_dat150_[[#This Row],[Year]]+1/8+(Table_dat150_[[#This Row],[Quarter]]-1)/4</f>
        <v>1974.125</v>
      </c>
      <c r="E98">
        <f>Table_dat150_[[#This Row],[DecDate]]^2</f>
        <v>3897169.515625</v>
      </c>
      <c r="F98">
        <v>757</v>
      </c>
      <c r="G98" s="8">
        <f>LN(Table_dat150_[[#This Row],[Expenditure]])</f>
        <v>6.6293632534374485</v>
      </c>
      <c r="H98" s="9">
        <f t="shared" si="2"/>
        <v>-2.0698576972833119E-2</v>
      </c>
      <c r="I98" s="9">
        <f>(1+Table_dat150_[[#This Row],[gt]])^4 -1</f>
        <v>-8.0259009461401187E-2</v>
      </c>
      <c r="J98" s="9">
        <f>$V$18+$V$19*Table_dat150_[[#This Row],[DecDate]]</f>
        <v>809.18422205167008</v>
      </c>
      <c r="K98" s="9">
        <f>$V$37+$V$38*Table_dat150_[[#This Row],[DecDate]]+$V$39*Table_dat150_[[#This Row],[DecDate2]]</f>
        <v>803.01661370076181</v>
      </c>
      <c r="L98" s="9">
        <f>$AF$18+$AF$19*Table_dat150_[[#This Row],[DecDate]]</f>
        <v>6.6900707375021975</v>
      </c>
      <c r="M98" s="9">
        <f>$AF$37+$AF$38*Table_dat150_[[#This Row],[DecDate]]+$AF$39*Table_dat150_[[#This Row],[DecDate2]]</f>
        <v>6.6882629892330101</v>
      </c>
      <c r="N98" s="9">
        <f>Table_dat150_[[#This Row],[LogExpenditure]]-Table_dat150_[[#This Row],[Log Quadratic Trend]]</f>
        <v>-5.8899735795561625E-2</v>
      </c>
      <c r="O98" s="9">
        <f t="shared" si="3"/>
        <v>-1.8200044944847171E-2</v>
      </c>
      <c r="P98" s="9">
        <f>Table_dat150_[[#This Row],[Log Quadratic Trend]]+Table_dat150_[[#This Row],[Cycle]]</f>
        <v>6.6700629442881629</v>
      </c>
      <c r="Q98" s="9">
        <f>Table_dat150_[[#This Row],[LogExpenditure]]-Table_dat150_[[#This Row],[Log Quadratic Trend]]-Table_dat150_[[#This Row],[Cycle]]</f>
        <v>-4.0699690850714454E-2</v>
      </c>
      <c r="R98" s="9">
        <f>AVERAGEIF(Table_dat150_[Quarter], B98, Table_dat150_[High Frequency])</f>
        <v>-4.2281954239907563E-2</v>
      </c>
      <c r="S98" s="9">
        <f>Table_dat150_[[#This Row],[S0]]-AVERAGE($R$6:$R$9)</f>
        <v>-4.2188413571464481E-2</v>
      </c>
    </row>
    <row r="99" spans="1:19" x14ac:dyDescent="0.3">
      <c r="A99">
        <v>1974</v>
      </c>
      <c r="B99">
        <v>2</v>
      </c>
      <c r="C99" s="1">
        <f>DATE(Table_dat150_[[#This Row],[Year]],(Table_dat150_[[#This Row],[Quarter]]-1)*3+2,15)</f>
        <v>27164</v>
      </c>
      <c r="D99">
        <f>Table_dat150_[[#This Row],[Year]]+1/8+(Table_dat150_[[#This Row],[Quarter]]-1)/4</f>
        <v>1974.375</v>
      </c>
      <c r="E99">
        <f>Table_dat150_[[#This Row],[DecDate]]^2</f>
        <v>3898156.640625</v>
      </c>
      <c r="F99">
        <v>777</v>
      </c>
      <c r="G99" s="8">
        <f>LN(Table_dat150_[[#This Row],[Expenditure]])</f>
        <v>6.6554403503676474</v>
      </c>
      <c r="H99" s="9">
        <f t="shared" si="2"/>
        <v>2.6420079260237782E-2</v>
      </c>
      <c r="I99" s="9">
        <f>(1+Table_dat150_[[#This Row],[gt]])^4 -1</f>
        <v>0.10994269483944974</v>
      </c>
      <c r="J99" s="9">
        <f>$V$18+$V$19*Table_dat150_[[#This Row],[DecDate]]</f>
        <v>810.48987759549527</v>
      </c>
      <c r="K99" s="9">
        <f>$V$37+$V$38*Table_dat150_[[#This Row],[DecDate]]+$V$39*Table_dat150_[[#This Row],[DecDate2]]</f>
        <v>804.20292184583377</v>
      </c>
      <c r="L99" s="9">
        <f>$AF$18+$AF$19*Table_dat150_[[#This Row],[DecDate]]</f>
        <v>6.6915767662529726</v>
      </c>
      <c r="M99" s="9">
        <f>$AF$37+$AF$38*Table_dat150_[[#This Row],[DecDate]]+$AF$39*Table_dat150_[[#This Row],[DecDate2]]</f>
        <v>6.6897340368304334</v>
      </c>
      <c r="N99" s="9">
        <f>Table_dat150_[[#This Row],[LogExpenditure]]-Table_dat150_[[#This Row],[Log Quadratic Trend]]</f>
        <v>-3.4293686462786077E-2</v>
      </c>
      <c r="O99" s="9">
        <f t="shared" si="3"/>
        <v>-3.5956286625786579E-2</v>
      </c>
      <c r="P99" s="9">
        <f>Table_dat150_[[#This Row],[Log Quadratic Trend]]+Table_dat150_[[#This Row],[Cycle]]</f>
        <v>6.6537777502046467</v>
      </c>
      <c r="Q99" s="9">
        <f>Table_dat150_[[#This Row],[LogExpenditure]]-Table_dat150_[[#This Row],[Log Quadratic Trend]]-Table_dat150_[[#This Row],[Cycle]]</f>
        <v>1.6626001630005022E-3</v>
      </c>
      <c r="R99" s="9">
        <f>AVERAGEIF(Table_dat150_[Quarter], B99, Table_dat150_[High Frequency])</f>
        <v>3.2923068860816217E-2</v>
      </c>
      <c r="S99" s="9">
        <f>Table_dat150_[[#This Row],[S0]]-AVERAGE($R$6:$R$9)</f>
        <v>3.3016609529259298E-2</v>
      </c>
    </row>
    <row r="100" spans="1:19" x14ac:dyDescent="0.3">
      <c r="A100">
        <v>1974</v>
      </c>
      <c r="B100">
        <v>3</v>
      </c>
      <c r="C100" s="1">
        <f>DATE(Table_dat150_[[#This Row],[Year]],(Table_dat150_[[#This Row],[Quarter]]-1)*3+2,15)</f>
        <v>27256</v>
      </c>
      <c r="D100">
        <f>Table_dat150_[[#This Row],[Year]]+1/8+(Table_dat150_[[#This Row],[Quarter]]-1)/4</f>
        <v>1974.625</v>
      </c>
      <c r="E100">
        <f>Table_dat150_[[#This Row],[DecDate]]^2</f>
        <v>3899143.890625</v>
      </c>
      <c r="F100">
        <v>794</v>
      </c>
      <c r="G100" s="8">
        <f>LN(Table_dat150_[[#This Row],[Expenditure]])</f>
        <v>6.6770834612471361</v>
      </c>
      <c r="H100" s="9">
        <f t="shared" si="2"/>
        <v>2.1879021879021878E-2</v>
      </c>
      <c r="I100" s="9">
        <f>(1+Table_dat150_[[#This Row],[gt]])^4 -1</f>
        <v>9.0430359467847721E-2</v>
      </c>
      <c r="J100" s="9">
        <f>$V$18+$V$19*Table_dat150_[[#This Row],[DecDate]]</f>
        <v>811.79553313932229</v>
      </c>
      <c r="K100" s="9">
        <f>$V$37+$V$38*Table_dat150_[[#This Row],[DecDate]]+$V$39*Table_dat150_[[#This Row],[DecDate2]]</f>
        <v>805.39188215533795</v>
      </c>
      <c r="L100" s="9">
        <f>$AF$18+$AF$19*Table_dat150_[[#This Row],[DecDate]]</f>
        <v>6.6930827950037495</v>
      </c>
      <c r="M100" s="9">
        <f>$AF$37+$AF$38*Table_dat150_[[#This Row],[DecDate]]+$AF$39*Table_dat150_[[#This Row],[DecDate2]]</f>
        <v>6.6912058617868198</v>
      </c>
      <c r="N100" s="9">
        <f>Table_dat150_[[#This Row],[LogExpenditure]]-Table_dat150_[[#This Row],[Log Quadratic Trend]]</f>
        <v>-1.4122400539683611E-2</v>
      </c>
      <c r="O100" s="9">
        <f t="shared" si="3"/>
        <v>-3.7946246586995788E-2</v>
      </c>
      <c r="P100" s="9">
        <f>Table_dat150_[[#This Row],[Log Quadratic Trend]]+Table_dat150_[[#This Row],[Cycle]]</f>
        <v>6.6532596151998238</v>
      </c>
      <c r="Q100" s="9">
        <f>Table_dat150_[[#This Row],[LogExpenditure]]-Table_dat150_[[#This Row],[Log Quadratic Trend]]-Table_dat150_[[#This Row],[Cycle]]</f>
        <v>2.3823846047312178E-2</v>
      </c>
      <c r="R100" s="9">
        <f>AVERAGEIF(Table_dat150_[Quarter], B100, Table_dat150_[High Frequency])</f>
        <v>3.7456808917954526E-2</v>
      </c>
      <c r="S100" s="9">
        <f>Table_dat150_[[#This Row],[S0]]-AVERAGE($R$6:$R$9)</f>
        <v>3.7550349586397608E-2</v>
      </c>
    </row>
    <row r="101" spans="1:19" x14ac:dyDescent="0.3">
      <c r="A101">
        <v>1974</v>
      </c>
      <c r="B101">
        <v>4</v>
      </c>
      <c r="C101" s="1">
        <f>DATE(Table_dat150_[[#This Row],[Year]],(Table_dat150_[[#This Row],[Quarter]]-1)*3+2,15)</f>
        <v>27348</v>
      </c>
      <c r="D101">
        <f>Table_dat150_[[#This Row],[Year]]+1/8+(Table_dat150_[[#This Row],[Quarter]]-1)/4</f>
        <v>1974.875</v>
      </c>
      <c r="E101">
        <f>Table_dat150_[[#This Row],[DecDate]]^2</f>
        <v>3900131.265625</v>
      </c>
      <c r="F101">
        <v>778</v>
      </c>
      <c r="G101" s="8">
        <f>LN(Table_dat150_[[#This Row],[Expenditure]])</f>
        <v>6.6567265241783913</v>
      </c>
      <c r="H101" s="9">
        <f t="shared" si="2"/>
        <v>-2.0151133501259445E-2</v>
      </c>
      <c r="I101" s="9">
        <f>(1+Table_dat150_[[#This Row],[gt]])^4 -1</f>
        <v>-7.8200690961891084E-2</v>
      </c>
      <c r="J101" s="9">
        <f>$V$18+$V$19*Table_dat150_[[#This Row],[DecDate]]</f>
        <v>813.1011886831493</v>
      </c>
      <c r="K101" s="9">
        <f>$V$37+$V$38*Table_dat150_[[#This Row],[DecDate]]+$V$39*Table_dat150_[[#This Row],[DecDate2]]</f>
        <v>806.5834946292598</v>
      </c>
      <c r="L101" s="9">
        <f>$AF$18+$AF$19*Table_dat150_[[#This Row],[DecDate]]</f>
        <v>6.6945888237545246</v>
      </c>
      <c r="M101" s="9">
        <f>$AF$37+$AF$38*Table_dat150_[[#This Row],[DecDate]]+$AF$39*Table_dat150_[[#This Row],[DecDate2]]</f>
        <v>6.6926784641021762</v>
      </c>
      <c r="N101" s="9">
        <f>Table_dat150_[[#This Row],[LogExpenditure]]-Table_dat150_[[#This Row],[Log Quadratic Trend]]</f>
        <v>-3.595193992378487E-2</v>
      </c>
      <c r="O101" s="9">
        <f t="shared" si="3"/>
        <v>-2.0044819118087531E-2</v>
      </c>
      <c r="P101" s="9">
        <f>Table_dat150_[[#This Row],[Log Quadratic Trend]]+Table_dat150_[[#This Row],[Cycle]]</f>
        <v>6.6726336449840886</v>
      </c>
      <c r="Q101" s="9">
        <f>Table_dat150_[[#This Row],[LogExpenditure]]-Table_dat150_[[#This Row],[Log Quadratic Trend]]-Table_dat150_[[#This Row],[Cycle]]</f>
        <v>-1.5907120805697339E-2</v>
      </c>
      <c r="R101" s="9">
        <f>AVERAGEIF(Table_dat150_[Quarter], B101, Table_dat150_[High Frequency])</f>
        <v>-2.8472086212635514E-2</v>
      </c>
      <c r="S101" s="9">
        <f>Table_dat150_[[#This Row],[S0]]-AVERAGE($R$6:$R$9)</f>
        <v>-2.8378545544192432E-2</v>
      </c>
    </row>
    <row r="102" spans="1:19" x14ac:dyDescent="0.3">
      <c r="A102">
        <v>1975</v>
      </c>
      <c r="B102">
        <v>1</v>
      </c>
      <c r="C102" s="1">
        <f>DATE(Table_dat150_[[#This Row],[Year]],(Table_dat150_[[#This Row],[Quarter]]-1)*3+2,15)</f>
        <v>27440</v>
      </c>
      <c r="D102">
        <f>Table_dat150_[[#This Row],[Year]]+1/8+(Table_dat150_[[#This Row],[Quarter]]-1)/4</f>
        <v>1975.125</v>
      </c>
      <c r="E102">
        <f>Table_dat150_[[#This Row],[DecDate]]^2</f>
        <v>3901118.765625</v>
      </c>
      <c r="F102">
        <v>771</v>
      </c>
      <c r="G102" s="8">
        <f>LN(Table_dat150_[[#This Row],[Expenditure]])</f>
        <v>6.6476883735633292</v>
      </c>
      <c r="H102" s="9">
        <f t="shared" si="2"/>
        <v>-8.9974293059125968E-3</v>
      </c>
      <c r="I102" s="9">
        <f>(1+Table_dat150_[[#This Row],[gt]])^4 -1</f>
        <v>-3.5506901767453081E-2</v>
      </c>
      <c r="J102" s="9">
        <f>$V$18+$V$19*Table_dat150_[[#This Row],[DecDate]]</f>
        <v>814.4068442269745</v>
      </c>
      <c r="K102" s="9">
        <f>$V$37+$V$38*Table_dat150_[[#This Row],[DecDate]]+$V$39*Table_dat150_[[#This Row],[DecDate2]]</f>
        <v>807.77775926758477</v>
      </c>
      <c r="L102" s="9">
        <f>$AF$18+$AF$19*Table_dat150_[[#This Row],[DecDate]]</f>
        <v>6.6960948525052997</v>
      </c>
      <c r="M102" s="9">
        <f>$AF$37+$AF$38*Table_dat150_[[#This Row],[DecDate]]+$AF$39*Table_dat150_[[#This Row],[DecDate2]]</f>
        <v>6.694151843776492</v>
      </c>
      <c r="N102" s="9">
        <f>Table_dat150_[[#This Row],[LogExpenditure]]-Table_dat150_[[#This Row],[Log Quadratic Trend]]</f>
        <v>-4.6463470213162772E-2</v>
      </c>
      <c r="O102" s="9">
        <f t="shared" si="3"/>
        <v>-4.2661299355225783E-3</v>
      </c>
      <c r="P102" s="9">
        <f>Table_dat150_[[#This Row],[Log Quadratic Trend]]+Table_dat150_[[#This Row],[Cycle]]</f>
        <v>6.6898857138409697</v>
      </c>
      <c r="Q102" s="9">
        <f>Table_dat150_[[#This Row],[LogExpenditure]]-Table_dat150_[[#This Row],[Log Quadratic Trend]]-Table_dat150_[[#This Row],[Cycle]]</f>
        <v>-4.2197340277640195E-2</v>
      </c>
      <c r="R102" s="9">
        <f>AVERAGEIF(Table_dat150_[Quarter], B102, Table_dat150_[High Frequency])</f>
        <v>-4.2281954239907563E-2</v>
      </c>
      <c r="S102" s="9">
        <f>Table_dat150_[[#This Row],[S0]]-AVERAGE($R$6:$R$9)</f>
        <v>-4.2188413571464481E-2</v>
      </c>
    </row>
    <row r="103" spans="1:19" x14ac:dyDescent="0.3">
      <c r="A103">
        <v>1975</v>
      </c>
      <c r="B103">
        <v>2</v>
      </c>
      <c r="C103" s="1">
        <f>DATE(Table_dat150_[[#This Row],[Year]],(Table_dat150_[[#This Row],[Quarter]]-1)*3+2,15)</f>
        <v>27529</v>
      </c>
      <c r="D103">
        <f>Table_dat150_[[#This Row],[Year]]+1/8+(Table_dat150_[[#This Row],[Quarter]]-1)/4</f>
        <v>1975.375</v>
      </c>
      <c r="E103">
        <f>Table_dat150_[[#This Row],[DecDate]]^2</f>
        <v>3902106.390625</v>
      </c>
      <c r="F103">
        <v>834</v>
      </c>
      <c r="G103" s="8">
        <f>LN(Table_dat150_[[#This Row],[Expenditure]])</f>
        <v>6.7262334023587469</v>
      </c>
      <c r="H103" s="9">
        <f t="shared" si="2"/>
        <v>8.171206225680934E-2</v>
      </c>
      <c r="I103" s="9">
        <f>(1+Table_dat150_[[#This Row],[gt]])^4 -1</f>
        <v>0.36913631657669499</v>
      </c>
      <c r="J103" s="9">
        <f>$V$18+$V$19*Table_dat150_[[#This Row],[DecDate]]</f>
        <v>815.71249977080151</v>
      </c>
      <c r="K103" s="9">
        <f>$V$37+$V$38*Table_dat150_[[#This Row],[DecDate]]+$V$39*Table_dat150_[[#This Row],[DecDate2]]</f>
        <v>808.9746760703274</v>
      </c>
      <c r="L103" s="9">
        <f>$AF$18+$AF$19*Table_dat150_[[#This Row],[DecDate]]</f>
        <v>6.6976008812560748</v>
      </c>
      <c r="M103" s="9">
        <f>$AF$37+$AF$38*Table_dat150_[[#This Row],[DecDate]]+$AF$39*Table_dat150_[[#This Row],[DecDate2]]</f>
        <v>6.6956260008097672</v>
      </c>
      <c r="N103" s="9">
        <f>Table_dat150_[[#This Row],[LogExpenditure]]-Table_dat150_[[#This Row],[Log Quadratic Trend]]</f>
        <v>3.0607401548979674E-2</v>
      </c>
      <c r="O103" s="9">
        <f t="shared" si="3"/>
        <v>2.8870518088289997E-3</v>
      </c>
      <c r="P103" s="9">
        <f>Table_dat150_[[#This Row],[Log Quadratic Trend]]+Table_dat150_[[#This Row],[Cycle]]</f>
        <v>6.6985130526185959</v>
      </c>
      <c r="Q103" s="9">
        <f>Table_dat150_[[#This Row],[LogExpenditure]]-Table_dat150_[[#This Row],[Log Quadratic Trend]]-Table_dat150_[[#This Row],[Cycle]]</f>
        <v>2.7720349740150675E-2</v>
      </c>
      <c r="R103" s="9">
        <f>AVERAGEIF(Table_dat150_[Quarter], B103, Table_dat150_[High Frequency])</f>
        <v>3.2923068860816217E-2</v>
      </c>
      <c r="S103" s="9">
        <f>Table_dat150_[[#This Row],[S0]]-AVERAGE($R$6:$R$9)</f>
        <v>3.3016609529259298E-2</v>
      </c>
    </row>
    <row r="104" spans="1:19" x14ac:dyDescent="0.3">
      <c r="A104">
        <v>1975</v>
      </c>
      <c r="B104">
        <v>3</v>
      </c>
      <c r="C104" s="1">
        <f>DATE(Table_dat150_[[#This Row],[Year]],(Table_dat150_[[#This Row],[Quarter]]-1)*3+2,15)</f>
        <v>27621</v>
      </c>
      <c r="D104">
        <f>Table_dat150_[[#This Row],[Year]]+1/8+(Table_dat150_[[#This Row],[Quarter]]-1)/4</f>
        <v>1975.625</v>
      </c>
      <c r="E104">
        <f>Table_dat150_[[#This Row],[DecDate]]^2</f>
        <v>3903094.140625</v>
      </c>
      <c r="F104">
        <v>847</v>
      </c>
      <c r="G104" s="8">
        <f>LN(Table_dat150_[[#This Row],[Expenditure]])</f>
        <v>6.7417006946520548</v>
      </c>
      <c r="H104" s="9">
        <f t="shared" si="2"/>
        <v>1.5587529976019185E-2</v>
      </c>
      <c r="I104" s="9">
        <f>(1+Table_dat150_[[#This Row],[gt]])^4 -1</f>
        <v>6.3823154760188627E-2</v>
      </c>
      <c r="J104" s="9">
        <f>$V$18+$V$19*Table_dat150_[[#This Row],[DecDate]]</f>
        <v>817.01815531462853</v>
      </c>
      <c r="K104" s="9">
        <f>$V$37+$V$38*Table_dat150_[[#This Row],[DecDate]]+$V$39*Table_dat150_[[#This Row],[DecDate2]]</f>
        <v>810.17424503747316</v>
      </c>
      <c r="L104" s="9">
        <f>$AF$18+$AF$19*Table_dat150_[[#This Row],[DecDate]]</f>
        <v>6.6991069100068499</v>
      </c>
      <c r="M104" s="9">
        <f>$AF$37+$AF$38*Table_dat150_[[#This Row],[DecDate]]+$AF$39*Table_dat150_[[#This Row],[DecDate2]]</f>
        <v>6.6971009352020161</v>
      </c>
      <c r="N104" s="9">
        <f>Table_dat150_[[#This Row],[LogExpenditure]]-Table_dat150_[[#This Row],[Log Quadratic Trend]]</f>
        <v>4.459975945003869E-2</v>
      </c>
      <c r="O104" s="9">
        <f t="shared" si="3"/>
        <v>6.4885320708700789E-3</v>
      </c>
      <c r="P104" s="9">
        <f>Table_dat150_[[#This Row],[Log Quadratic Trend]]+Table_dat150_[[#This Row],[Cycle]]</f>
        <v>6.7035894672728862</v>
      </c>
      <c r="Q104" s="9">
        <f>Table_dat150_[[#This Row],[LogExpenditure]]-Table_dat150_[[#This Row],[Log Quadratic Trend]]-Table_dat150_[[#This Row],[Cycle]]</f>
        <v>3.8111227379168611E-2</v>
      </c>
      <c r="R104" s="9">
        <f>AVERAGEIF(Table_dat150_[Quarter], B104, Table_dat150_[High Frequency])</f>
        <v>3.7456808917954526E-2</v>
      </c>
      <c r="S104" s="9">
        <f>Table_dat150_[[#This Row],[S0]]-AVERAGE($R$6:$R$9)</f>
        <v>3.7550349586397608E-2</v>
      </c>
    </row>
    <row r="105" spans="1:19" x14ac:dyDescent="0.3">
      <c r="A105">
        <v>1975</v>
      </c>
      <c r="B105">
        <v>4</v>
      </c>
      <c r="C105" s="1">
        <f>DATE(Table_dat150_[[#This Row],[Year]],(Table_dat150_[[#This Row],[Quarter]]-1)*3+2,15)</f>
        <v>27713</v>
      </c>
      <c r="D105">
        <f>Table_dat150_[[#This Row],[Year]]+1/8+(Table_dat150_[[#This Row],[Quarter]]-1)/4</f>
        <v>1975.875</v>
      </c>
      <c r="E105">
        <f>Table_dat150_[[#This Row],[DecDate]]^2</f>
        <v>3904082.015625</v>
      </c>
      <c r="F105">
        <v>829</v>
      </c>
      <c r="G105" s="8">
        <f>LN(Table_dat150_[[#This Row],[Expenditure]])</f>
        <v>6.7202201551352951</v>
      </c>
      <c r="H105" s="9">
        <f t="shared" si="2"/>
        <v>-2.1251475796930343E-2</v>
      </c>
      <c r="I105" s="9">
        <f>(1+Table_dat150_[[#This Row],[gt]])^4 -1</f>
        <v>-8.2334338691123721E-2</v>
      </c>
      <c r="J105" s="9">
        <f>$V$18+$V$19*Table_dat150_[[#This Row],[DecDate]]</f>
        <v>818.32381085845373</v>
      </c>
      <c r="K105" s="9">
        <f>$V$37+$V$38*Table_dat150_[[#This Row],[DecDate]]+$V$39*Table_dat150_[[#This Row],[DecDate2]]</f>
        <v>811.37646616905113</v>
      </c>
      <c r="L105" s="9">
        <f>$AF$18+$AF$19*Table_dat150_[[#This Row],[DecDate]]</f>
        <v>6.700612938757625</v>
      </c>
      <c r="M105" s="9">
        <f>$AF$37+$AF$38*Table_dat150_[[#This Row],[DecDate]]+$AF$39*Table_dat150_[[#This Row],[DecDate2]]</f>
        <v>6.6985766469532209</v>
      </c>
      <c r="N105" s="9">
        <f>Table_dat150_[[#This Row],[LogExpenditure]]-Table_dat150_[[#This Row],[Log Quadratic Trend]]</f>
        <v>2.1643508182074278E-2</v>
      </c>
      <c r="O105" s="9">
        <f t="shared" si="3"/>
        <v>2.6628930003849759E-2</v>
      </c>
      <c r="P105" s="9">
        <f>Table_dat150_[[#This Row],[Log Quadratic Trend]]+Table_dat150_[[#This Row],[Cycle]]</f>
        <v>6.7252055769570704</v>
      </c>
      <c r="Q105" s="9">
        <f>Table_dat150_[[#This Row],[LogExpenditure]]-Table_dat150_[[#This Row],[Log Quadratic Trend]]-Table_dat150_[[#This Row],[Cycle]]</f>
        <v>-4.9854218217754813E-3</v>
      </c>
      <c r="R105" s="9">
        <f>AVERAGEIF(Table_dat150_[Quarter], B105, Table_dat150_[High Frequency])</f>
        <v>-2.8472086212635514E-2</v>
      </c>
      <c r="S105" s="9">
        <f>Table_dat150_[[#This Row],[S0]]-AVERAGE($R$6:$R$9)</f>
        <v>-2.8378545544192432E-2</v>
      </c>
    </row>
    <row r="106" spans="1:19" x14ac:dyDescent="0.3">
      <c r="A106">
        <v>1976</v>
      </c>
      <c r="B106">
        <v>1</v>
      </c>
      <c r="C106" s="1">
        <f>DATE(Table_dat150_[[#This Row],[Year]],(Table_dat150_[[#This Row],[Quarter]]-1)*3+2,15)</f>
        <v>27805</v>
      </c>
      <c r="D106">
        <f>Table_dat150_[[#This Row],[Year]]+1/8+(Table_dat150_[[#This Row],[Quarter]]-1)/4</f>
        <v>1976.125</v>
      </c>
      <c r="E106">
        <f>Table_dat150_[[#This Row],[DecDate]]^2</f>
        <v>3905070.015625</v>
      </c>
      <c r="F106">
        <v>798</v>
      </c>
      <c r="G106" s="8">
        <f>LN(Table_dat150_[[#This Row],[Expenditure]])</f>
        <v>6.6821085974498091</v>
      </c>
      <c r="H106" s="9">
        <f t="shared" si="2"/>
        <v>-3.739445114595899E-2</v>
      </c>
      <c r="I106" s="9">
        <f>(1+Table_dat150_[[#This Row],[gt]])^4 -1</f>
        <v>-0.14139494072775438</v>
      </c>
      <c r="J106" s="9">
        <f>$V$18+$V$19*Table_dat150_[[#This Row],[DecDate]]</f>
        <v>819.62946640228074</v>
      </c>
      <c r="K106" s="9">
        <f>$V$37+$V$38*Table_dat150_[[#This Row],[DecDate]]+$V$39*Table_dat150_[[#This Row],[DecDate2]]</f>
        <v>812.58133946504677</v>
      </c>
      <c r="L106" s="9">
        <f>$AF$18+$AF$19*Table_dat150_[[#This Row],[DecDate]]</f>
        <v>6.7021189675084019</v>
      </c>
      <c r="M106" s="9">
        <f>$AF$37+$AF$38*Table_dat150_[[#This Row],[DecDate]]+$AF$39*Table_dat150_[[#This Row],[DecDate2]]</f>
        <v>6.7000531360633886</v>
      </c>
      <c r="N106" s="9">
        <f>Table_dat150_[[#This Row],[LogExpenditure]]-Table_dat150_[[#This Row],[Log Quadratic Trend]]</f>
        <v>-1.7944538613579475E-2</v>
      </c>
      <c r="O106" s="9">
        <f t="shared" si="3"/>
        <v>3.2682742134416819E-2</v>
      </c>
      <c r="P106" s="9">
        <f>Table_dat150_[[#This Row],[Log Quadratic Trend]]+Table_dat150_[[#This Row],[Cycle]]</f>
        <v>6.7327358781978051</v>
      </c>
      <c r="Q106" s="9">
        <f>Table_dat150_[[#This Row],[LogExpenditure]]-Table_dat150_[[#This Row],[Log Quadratic Trend]]-Table_dat150_[[#This Row],[Cycle]]</f>
        <v>-5.0627280747996294E-2</v>
      </c>
      <c r="R106" s="9">
        <f>AVERAGEIF(Table_dat150_[Quarter], B106, Table_dat150_[High Frequency])</f>
        <v>-4.2281954239907563E-2</v>
      </c>
      <c r="S106" s="9">
        <f>Table_dat150_[[#This Row],[S0]]-AVERAGE($R$6:$R$9)</f>
        <v>-4.2188413571464481E-2</v>
      </c>
    </row>
    <row r="107" spans="1:19" x14ac:dyDescent="0.3">
      <c r="A107">
        <v>1976</v>
      </c>
      <c r="B107">
        <v>2</v>
      </c>
      <c r="C107" s="1">
        <f>DATE(Table_dat150_[[#This Row],[Year]],(Table_dat150_[[#This Row],[Quarter]]-1)*3+2,15)</f>
        <v>27895</v>
      </c>
      <c r="D107">
        <f>Table_dat150_[[#This Row],[Year]]+1/8+(Table_dat150_[[#This Row],[Quarter]]-1)/4</f>
        <v>1976.375</v>
      </c>
      <c r="E107">
        <f>Table_dat150_[[#This Row],[DecDate]]^2</f>
        <v>3906058.140625</v>
      </c>
      <c r="F107">
        <v>859</v>
      </c>
      <c r="G107" s="8">
        <f>LN(Table_dat150_[[#This Row],[Expenditure]])</f>
        <v>6.7557689219842549</v>
      </c>
      <c r="H107" s="9">
        <f t="shared" si="2"/>
        <v>7.6441102756892226E-2</v>
      </c>
      <c r="I107" s="9">
        <f>(1+Table_dat150_[[#This Row],[gt]])^4 -1</f>
        <v>0.34264466315793451</v>
      </c>
      <c r="J107" s="9">
        <f>$V$18+$V$19*Table_dat150_[[#This Row],[DecDate]]</f>
        <v>820.93512194610776</v>
      </c>
      <c r="K107" s="9">
        <f>$V$37+$V$38*Table_dat150_[[#This Row],[DecDate]]+$V$39*Table_dat150_[[#This Row],[DecDate2]]</f>
        <v>813.78886492546008</v>
      </c>
      <c r="L107" s="9">
        <f>$AF$18+$AF$19*Table_dat150_[[#This Row],[DecDate]]</f>
        <v>6.703624996259177</v>
      </c>
      <c r="M107" s="9">
        <f>$AF$37+$AF$38*Table_dat150_[[#This Row],[DecDate]]+$AF$39*Table_dat150_[[#This Row],[DecDate2]]</f>
        <v>6.7015304025325193</v>
      </c>
      <c r="N107" s="9">
        <f>Table_dat150_[[#This Row],[LogExpenditure]]-Table_dat150_[[#This Row],[Log Quadratic Trend]]</f>
        <v>5.4238519451735634E-2</v>
      </c>
      <c r="O107" s="9">
        <f t="shared" si="3"/>
        <v>1.6002080291355369E-2</v>
      </c>
      <c r="P107" s="9">
        <f>Table_dat150_[[#This Row],[Log Quadratic Trend]]+Table_dat150_[[#This Row],[Cycle]]</f>
        <v>6.7175324828238745</v>
      </c>
      <c r="Q107" s="9">
        <f>Table_dat150_[[#This Row],[LogExpenditure]]-Table_dat150_[[#This Row],[Log Quadratic Trend]]-Table_dat150_[[#This Row],[Cycle]]</f>
        <v>3.8236439160380262E-2</v>
      </c>
      <c r="R107" s="9">
        <f>AVERAGEIF(Table_dat150_[Quarter], B107, Table_dat150_[High Frequency])</f>
        <v>3.2923068860816217E-2</v>
      </c>
      <c r="S107" s="9">
        <f>Table_dat150_[[#This Row],[S0]]-AVERAGE($R$6:$R$9)</f>
        <v>3.3016609529259298E-2</v>
      </c>
    </row>
    <row r="108" spans="1:19" x14ac:dyDescent="0.3">
      <c r="A108">
        <v>1976</v>
      </c>
      <c r="B108">
        <v>3</v>
      </c>
      <c r="C108" s="1">
        <f>DATE(Table_dat150_[[#This Row],[Year]],(Table_dat150_[[#This Row],[Quarter]]-1)*3+2,15)</f>
        <v>27987</v>
      </c>
      <c r="D108">
        <f>Table_dat150_[[#This Row],[Year]]+1/8+(Table_dat150_[[#This Row],[Quarter]]-1)/4</f>
        <v>1976.625</v>
      </c>
      <c r="E108">
        <f>Table_dat150_[[#This Row],[DecDate]]^2</f>
        <v>3907046.390625</v>
      </c>
      <c r="F108">
        <v>866</v>
      </c>
      <c r="G108" s="8">
        <f>LN(Table_dat150_[[#This Row],[Expenditure]])</f>
        <v>6.7638849085624351</v>
      </c>
      <c r="H108" s="9">
        <f t="shared" si="2"/>
        <v>8.1490104772991845E-3</v>
      </c>
      <c r="I108" s="9">
        <f>(1+Table_dat150_[[#This Row],[gt]])^4 -1</f>
        <v>3.2996649134434453E-2</v>
      </c>
      <c r="J108" s="9">
        <f>$V$18+$V$19*Table_dat150_[[#This Row],[DecDate]]</f>
        <v>822.24077748993477</v>
      </c>
      <c r="K108" s="9">
        <f>$V$37+$V$38*Table_dat150_[[#This Row],[DecDate]]+$V$39*Table_dat150_[[#This Row],[DecDate2]]</f>
        <v>814.99904255029105</v>
      </c>
      <c r="L108" s="9">
        <f>$AF$18+$AF$19*Table_dat150_[[#This Row],[DecDate]]</f>
        <v>6.7051310250099521</v>
      </c>
      <c r="M108" s="9">
        <f>$AF$37+$AF$38*Table_dat150_[[#This Row],[DecDate]]+$AF$39*Table_dat150_[[#This Row],[DecDate2]]</f>
        <v>6.7030084463606201</v>
      </c>
      <c r="N108" s="9">
        <f>Table_dat150_[[#This Row],[LogExpenditure]]-Table_dat150_[[#This Row],[Log Quadratic Trend]]</f>
        <v>6.0876462201814974E-2</v>
      </c>
      <c r="O108" s="9">
        <f t="shared" si="3"/>
        <v>1.5680755097307042E-3</v>
      </c>
      <c r="P108" s="9">
        <f>Table_dat150_[[#This Row],[Log Quadratic Trend]]+Table_dat150_[[#This Row],[Cycle]]</f>
        <v>6.7045765218703508</v>
      </c>
      <c r="Q108" s="9">
        <f>Table_dat150_[[#This Row],[LogExpenditure]]-Table_dat150_[[#This Row],[Log Quadratic Trend]]-Table_dat150_[[#This Row],[Cycle]]</f>
        <v>5.9308386692084269E-2</v>
      </c>
      <c r="R108" s="9">
        <f>AVERAGEIF(Table_dat150_[Quarter], B108, Table_dat150_[High Frequency])</f>
        <v>3.7456808917954526E-2</v>
      </c>
      <c r="S108" s="9">
        <f>Table_dat150_[[#This Row],[S0]]-AVERAGE($R$6:$R$9)</f>
        <v>3.7550349586397608E-2</v>
      </c>
    </row>
    <row r="109" spans="1:19" x14ac:dyDescent="0.3">
      <c r="A109">
        <v>1976</v>
      </c>
      <c r="B109">
        <v>4</v>
      </c>
      <c r="C109" s="1">
        <f>DATE(Table_dat150_[[#This Row],[Year]],(Table_dat150_[[#This Row],[Quarter]]-1)*3+2,15)</f>
        <v>28079</v>
      </c>
      <c r="D109">
        <f>Table_dat150_[[#This Row],[Year]]+1/8+(Table_dat150_[[#This Row],[Quarter]]-1)/4</f>
        <v>1976.875</v>
      </c>
      <c r="E109">
        <f>Table_dat150_[[#This Row],[DecDate]]^2</f>
        <v>3908034.765625</v>
      </c>
      <c r="F109">
        <v>785</v>
      </c>
      <c r="G109" s="8">
        <f>LN(Table_dat150_[[#This Row],[Expenditure]])</f>
        <v>6.6656837177824082</v>
      </c>
      <c r="H109" s="9">
        <f t="shared" si="2"/>
        <v>-9.3533487297921478E-2</v>
      </c>
      <c r="I109" s="9">
        <f>(1+Table_dat150_[[#This Row],[gt]])^4 -1</f>
        <v>-0.32483944904132878</v>
      </c>
      <c r="J109" s="9">
        <f>$V$18+$V$19*Table_dat150_[[#This Row],[DecDate]]</f>
        <v>823.54643303375997</v>
      </c>
      <c r="K109" s="9">
        <f>$V$37+$V$38*Table_dat150_[[#This Row],[DecDate]]+$V$39*Table_dat150_[[#This Row],[DecDate2]]</f>
        <v>816.2118723395397</v>
      </c>
      <c r="L109" s="9">
        <f>$AF$18+$AF$19*Table_dat150_[[#This Row],[DecDate]]</f>
        <v>6.7066370537607272</v>
      </c>
      <c r="M109" s="9">
        <f>$AF$37+$AF$38*Table_dat150_[[#This Row],[DecDate]]+$AF$39*Table_dat150_[[#This Row],[DecDate2]]</f>
        <v>6.7044872675476768</v>
      </c>
      <c r="N109" s="9">
        <f>Table_dat150_[[#This Row],[LogExpenditure]]-Table_dat150_[[#This Row],[Log Quadratic Trend]]</f>
        <v>-3.8803549765268563E-2</v>
      </c>
      <c r="O109" s="9">
        <f t="shared" si="3"/>
        <v>6.015613843945289E-3</v>
      </c>
      <c r="P109" s="9">
        <f>Table_dat150_[[#This Row],[Log Quadratic Trend]]+Table_dat150_[[#This Row],[Cycle]]</f>
        <v>6.7105028813916219</v>
      </c>
      <c r="Q109" s="9">
        <f>Table_dat150_[[#This Row],[LogExpenditure]]-Table_dat150_[[#This Row],[Log Quadratic Trend]]-Table_dat150_[[#This Row],[Cycle]]</f>
        <v>-4.4819163609213855E-2</v>
      </c>
      <c r="R109" s="9">
        <f>AVERAGEIF(Table_dat150_[Quarter], B109, Table_dat150_[High Frequency])</f>
        <v>-2.8472086212635514E-2</v>
      </c>
      <c r="S109" s="9">
        <f>Table_dat150_[[#This Row],[S0]]-AVERAGE($R$6:$R$9)</f>
        <v>-2.8378545544192432E-2</v>
      </c>
    </row>
    <row r="110" spans="1:19" x14ac:dyDescent="0.3">
      <c r="A110">
        <v>1977</v>
      </c>
      <c r="B110">
        <v>1</v>
      </c>
      <c r="C110" s="1">
        <f>DATE(Table_dat150_[[#This Row],[Year]],(Table_dat150_[[#This Row],[Quarter]]-1)*3+2,15)</f>
        <v>28171</v>
      </c>
      <c r="D110">
        <f>Table_dat150_[[#This Row],[Year]]+1/8+(Table_dat150_[[#This Row],[Quarter]]-1)/4</f>
        <v>1977.125</v>
      </c>
      <c r="E110">
        <f>Table_dat150_[[#This Row],[DecDate]]^2</f>
        <v>3909023.265625</v>
      </c>
      <c r="F110">
        <v>777</v>
      </c>
      <c r="G110" s="8">
        <f>LN(Table_dat150_[[#This Row],[Expenditure]])</f>
        <v>6.6554403503676474</v>
      </c>
      <c r="H110" s="9">
        <f t="shared" si="2"/>
        <v>-1.019108280254777E-2</v>
      </c>
      <c r="I110" s="9">
        <f>(1+Table_dat150_[[#This Row],[gt]])^4 -1</f>
        <v>-4.0145405120328825E-2</v>
      </c>
      <c r="J110" s="9">
        <f>$V$18+$V$19*Table_dat150_[[#This Row],[DecDate]]</f>
        <v>824.85208857758698</v>
      </c>
      <c r="K110" s="9">
        <f>$V$37+$V$38*Table_dat150_[[#This Row],[DecDate]]+$V$39*Table_dat150_[[#This Row],[DecDate2]]</f>
        <v>817.4273542931769</v>
      </c>
      <c r="L110" s="9">
        <f>$AF$18+$AF$19*Table_dat150_[[#This Row],[DecDate]]</f>
        <v>6.7081430825115023</v>
      </c>
      <c r="M110" s="9">
        <f>$AF$37+$AF$38*Table_dat150_[[#This Row],[DecDate]]+$AF$39*Table_dat150_[[#This Row],[DecDate2]]</f>
        <v>6.7059668660936964</v>
      </c>
      <c r="N110" s="9">
        <f>Table_dat150_[[#This Row],[LogExpenditure]]-Table_dat150_[[#This Row],[Log Quadratic Trend]]</f>
        <v>-5.0526515726049048E-2</v>
      </c>
      <c r="O110" s="9">
        <f t="shared" si="3"/>
        <v>-8.9204648198855092E-4</v>
      </c>
      <c r="P110" s="9">
        <f>Table_dat150_[[#This Row],[Log Quadratic Trend]]+Table_dat150_[[#This Row],[Cycle]]</f>
        <v>6.705074819611708</v>
      </c>
      <c r="Q110" s="9">
        <f>Table_dat150_[[#This Row],[LogExpenditure]]-Table_dat150_[[#This Row],[Log Quadratic Trend]]-Table_dat150_[[#This Row],[Cycle]]</f>
        <v>-4.9634469244060495E-2</v>
      </c>
      <c r="R110" s="9">
        <f>AVERAGEIF(Table_dat150_[Quarter], B110, Table_dat150_[High Frequency])</f>
        <v>-4.2281954239907563E-2</v>
      </c>
      <c r="S110" s="9">
        <f>Table_dat150_[[#This Row],[S0]]-AVERAGE($R$6:$R$9)</f>
        <v>-4.2188413571464481E-2</v>
      </c>
    </row>
    <row r="111" spans="1:19" x14ac:dyDescent="0.3">
      <c r="A111">
        <v>1977</v>
      </c>
      <c r="B111">
        <v>2</v>
      </c>
      <c r="C111" s="1">
        <f>DATE(Table_dat150_[[#This Row],[Year]],(Table_dat150_[[#This Row],[Quarter]]-1)*3+2,15)</f>
        <v>28260</v>
      </c>
      <c r="D111">
        <f>Table_dat150_[[#This Row],[Year]]+1/8+(Table_dat150_[[#This Row],[Quarter]]-1)/4</f>
        <v>1977.375</v>
      </c>
      <c r="E111">
        <f>Table_dat150_[[#This Row],[DecDate]]^2</f>
        <v>3910011.890625</v>
      </c>
      <c r="F111">
        <v>822</v>
      </c>
      <c r="G111" s="8">
        <f>LN(Table_dat150_[[#This Row],[Expenditure]])</f>
        <v>6.7117403950561796</v>
      </c>
      <c r="H111" s="9">
        <f t="shared" si="2"/>
        <v>5.7915057915057917E-2</v>
      </c>
      <c r="I111" s="9">
        <f>(1+Table_dat150_[[#This Row],[gt]])^4 -1</f>
        <v>0.25257342968588126</v>
      </c>
      <c r="J111" s="9">
        <f>$V$18+$V$19*Table_dat150_[[#This Row],[DecDate]]</f>
        <v>826.157744121414</v>
      </c>
      <c r="K111" s="9">
        <f>$V$37+$V$38*Table_dat150_[[#This Row],[DecDate]]+$V$39*Table_dat150_[[#This Row],[DecDate2]]</f>
        <v>818.64548841126089</v>
      </c>
      <c r="L111" s="9">
        <f>$AF$18+$AF$19*Table_dat150_[[#This Row],[DecDate]]</f>
        <v>6.7096491112622774</v>
      </c>
      <c r="M111" s="9">
        <f>$AF$37+$AF$38*Table_dat150_[[#This Row],[DecDate]]+$AF$39*Table_dat150_[[#This Row],[DecDate2]]</f>
        <v>6.7074472419986861</v>
      </c>
      <c r="N111" s="9">
        <f>Table_dat150_[[#This Row],[LogExpenditure]]-Table_dat150_[[#This Row],[Log Quadratic Trend]]</f>
        <v>4.2931530574934484E-3</v>
      </c>
      <c r="O111" s="9">
        <f t="shared" si="3"/>
        <v>-1.3044782208974759E-2</v>
      </c>
      <c r="P111" s="9">
        <f>Table_dat150_[[#This Row],[Log Quadratic Trend]]+Table_dat150_[[#This Row],[Cycle]]</f>
        <v>6.6944024597897114</v>
      </c>
      <c r="Q111" s="9">
        <f>Table_dat150_[[#This Row],[LogExpenditure]]-Table_dat150_[[#This Row],[Log Quadratic Trend]]-Table_dat150_[[#This Row],[Cycle]]</f>
        <v>1.7337935266468207E-2</v>
      </c>
      <c r="R111" s="9">
        <f>AVERAGEIF(Table_dat150_[Quarter], B111, Table_dat150_[High Frequency])</f>
        <v>3.2923068860816217E-2</v>
      </c>
      <c r="S111" s="9">
        <f>Table_dat150_[[#This Row],[S0]]-AVERAGE($R$6:$R$9)</f>
        <v>3.3016609529259298E-2</v>
      </c>
    </row>
    <row r="112" spans="1:19" x14ac:dyDescent="0.3">
      <c r="A112">
        <v>1977</v>
      </c>
      <c r="B112">
        <v>3</v>
      </c>
      <c r="C112" s="1">
        <f>DATE(Table_dat150_[[#This Row],[Year]],(Table_dat150_[[#This Row],[Quarter]]-1)*3+2,15)</f>
        <v>28352</v>
      </c>
      <c r="D112">
        <f>Table_dat150_[[#This Row],[Year]]+1/8+(Table_dat150_[[#This Row],[Quarter]]-1)/4</f>
        <v>1977.625</v>
      </c>
      <c r="E112">
        <f>Table_dat150_[[#This Row],[DecDate]]^2</f>
        <v>3911000.640625</v>
      </c>
      <c r="F112">
        <v>836</v>
      </c>
      <c r="G112" s="8">
        <f>LN(Table_dat150_[[#This Row],[Expenditure]])</f>
        <v>6.7286286130847017</v>
      </c>
      <c r="H112" s="9">
        <f t="shared" si="2"/>
        <v>1.7031630170316302E-2</v>
      </c>
      <c r="I112" s="9">
        <f>(1+Table_dat150_[[#This Row],[gt]])^4 -1</f>
        <v>6.988682528080159E-2</v>
      </c>
      <c r="J112" s="9">
        <f>$V$18+$V$19*Table_dat150_[[#This Row],[DecDate]]</f>
        <v>827.46339966523919</v>
      </c>
      <c r="K112" s="9">
        <f>$V$37+$V$38*Table_dat150_[[#This Row],[DecDate]]+$V$39*Table_dat150_[[#This Row],[DecDate2]]</f>
        <v>819.86627469376253</v>
      </c>
      <c r="L112" s="9">
        <f>$AF$18+$AF$19*Table_dat150_[[#This Row],[DecDate]]</f>
        <v>6.7111551400130542</v>
      </c>
      <c r="M112" s="9">
        <f>$AF$37+$AF$38*Table_dat150_[[#This Row],[DecDate]]+$AF$39*Table_dat150_[[#This Row],[DecDate2]]</f>
        <v>6.7089283952626353</v>
      </c>
      <c r="N112" s="9">
        <f>Table_dat150_[[#This Row],[LogExpenditure]]-Table_dat150_[[#This Row],[Log Quadratic Trend]]</f>
        <v>1.9700217822066435E-2</v>
      </c>
      <c r="O112" s="9">
        <f t="shared" si="3"/>
        <v>-1.2750400666521066E-2</v>
      </c>
      <c r="P112" s="9">
        <f>Table_dat150_[[#This Row],[Log Quadratic Trend]]+Table_dat150_[[#This Row],[Cycle]]</f>
        <v>6.6961779945961144</v>
      </c>
      <c r="Q112" s="9">
        <f>Table_dat150_[[#This Row],[LogExpenditure]]-Table_dat150_[[#This Row],[Log Quadratic Trend]]-Table_dat150_[[#This Row],[Cycle]]</f>
        <v>3.2450618488587504E-2</v>
      </c>
      <c r="R112" s="9">
        <f>AVERAGEIF(Table_dat150_[Quarter], B112, Table_dat150_[High Frequency])</f>
        <v>3.7456808917954526E-2</v>
      </c>
      <c r="S112" s="9">
        <f>Table_dat150_[[#This Row],[S0]]-AVERAGE($R$6:$R$9)</f>
        <v>3.7550349586397608E-2</v>
      </c>
    </row>
    <row r="113" spans="1:19" x14ac:dyDescent="0.3">
      <c r="A113">
        <v>1977</v>
      </c>
      <c r="B113">
        <v>4</v>
      </c>
      <c r="C113" s="1">
        <f>DATE(Table_dat150_[[#This Row],[Year]],(Table_dat150_[[#This Row],[Quarter]]-1)*3+2,15)</f>
        <v>28444</v>
      </c>
      <c r="D113">
        <f>Table_dat150_[[#This Row],[Year]]+1/8+(Table_dat150_[[#This Row],[Quarter]]-1)/4</f>
        <v>1977.875</v>
      </c>
      <c r="E113">
        <f>Table_dat150_[[#This Row],[DecDate]]^2</f>
        <v>3911989.515625</v>
      </c>
      <c r="F113">
        <v>821</v>
      </c>
      <c r="G113" s="8">
        <f>LN(Table_dat150_[[#This Row],[Expenditure]])</f>
        <v>6.7105231094524278</v>
      </c>
      <c r="H113" s="9">
        <f t="shared" si="2"/>
        <v>-1.7942583732057416E-2</v>
      </c>
      <c r="I113" s="9">
        <f>(1+Table_dat150_[[#This Row],[gt]])^4 -1</f>
        <v>-6.986171889621462E-2</v>
      </c>
      <c r="J113" s="9">
        <f>$V$18+$V$19*Table_dat150_[[#This Row],[DecDate]]</f>
        <v>828.76905520906621</v>
      </c>
      <c r="K113" s="9">
        <f>$V$37+$V$38*Table_dat150_[[#This Row],[DecDate]]+$V$39*Table_dat150_[[#This Row],[DecDate2]]</f>
        <v>821.08971314068185</v>
      </c>
      <c r="L113" s="9">
        <f>$AF$18+$AF$19*Table_dat150_[[#This Row],[DecDate]]</f>
        <v>6.7126611687638293</v>
      </c>
      <c r="M113" s="9">
        <f>$AF$37+$AF$38*Table_dat150_[[#This Row],[DecDate]]+$AF$39*Table_dat150_[[#This Row],[DecDate2]]</f>
        <v>6.7104103258855439</v>
      </c>
      <c r="N113" s="9">
        <f>Table_dat150_[[#This Row],[LogExpenditure]]-Table_dat150_[[#This Row],[Log Quadratic Trend]]</f>
        <v>1.1278356688393387E-4</v>
      </c>
      <c r="O113" s="9">
        <f t="shared" si="3"/>
        <v>4.0532125397625408E-4</v>
      </c>
      <c r="P113" s="9">
        <f>Table_dat150_[[#This Row],[Log Quadratic Trend]]+Table_dat150_[[#This Row],[Cycle]]</f>
        <v>6.7108156471395199</v>
      </c>
      <c r="Q113" s="9">
        <f>Table_dat150_[[#This Row],[LogExpenditure]]-Table_dat150_[[#This Row],[Log Quadratic Trend]]-Table_dat150_[[#This Row],[Cycle]]</f>
        <v>-2.9253768709232021E-4</v>
      </c>
      <c r="R113" s="9">
        <f>AVERAGEIF(Table_dat150_[Quarter], B113, Table_dat150_[High Frequency])</f>
        <v>-2.8472086212635514E-2</v>
      </c>
      <c r="S113" s="9">
        <f>Table_dat150_[[#This Row],[S0]]-AVERAGE($R$6:$R$9)</f>
        <v>-2.8378545544192432E-2</v>
      </c>
    </row>
    <row r="114" spans="1:19" x14ac:dyDescent="0.3">
      <c r="A114">
        <v>1978</v>
      </c>
      <c r="B114">
        <v>1</v>
      </c>
      <c r="C114" s="1">
        <f>DATE(Table_dat150_[[#This Row],[Year]],(Table_dat150_[[#This Row],[Quarter]]-1)*3+2,15)</f>
        <v>28536</v>
      </c>
      <c r="D114">
        <f>Table_dat150_[[#This Row],[Year]]+1/8+(Table_dat150_[[#This Row],[Quarter]]-1)/4</f>
        <v>1978.125</v>
      </c>
      <c r="E114">
        <f>Table_dat150_[[#This Row],[DecDate]]^2</f>
        <v>3912978.515625</v>
      </c>
      <c r="F114">
        <v>792</v>
      </c>
      <c r="G114" s="8">
        <f>LN(Table_dat150_[[#This Row],[Expenditure]])</f>
        <v>6.674561391814426</v>
      </c>
      <c r="H114" s="9">
        <f t="shared" si="2"/>
        <v>-3.5322777101096221E-2</v>
      </c>
      <c r="I114" s="9">
        <f>(1+Table_dat150_[[#This Row],[gt]])^4 -1</f>
        <v>-0.13397964887545499</v>
      </c>
      <c r="J114" s="9">
        <f>$V$18+$V$19*Table_dat150_[[#This Row],[DecDate]]</f>
        <v>830.07471075289322</v>
      </c>
      <c r="K114" s="9">
        <f>$V$37+$V$38*Table_dat150_[[#This Row],[DecDate]]+$V$39*Table_dat150_[[#This Row],[DecDate2]]</f>
        <v>822.31580375200429</v>
      </c>
      <c r="L114" s="9">
        <f>$AF$18+$AF$19*Table_dat150_[[#This Row],[DecDate]]</f>
        <v>6.7141671975146044</v>
      </c>
      <c r="M114" s="9">
        <f>$AF$37+$AF$38*Table_dat150_[[#This Row],[DecDate]]+$AF$39*Table_dat150_[[#This Row],[DecDate2]]</f>
        <v>6.7118930338674261</v>
      </c>
      <c r="N114" s="9">
        <f>Table_dat150_[[#This Row],[LogExpenditure]]-Table_dat150_[[#This Row],[Log Quadratic Trend]]</f>
        <v>-3.7331642053000103E-2</v>
      </c>
      <c r="O114" s="9">
        <f t="shared" si="3"/>
        <v>5.856959975540121E-3</v>
      </c>
      <c r="P114" s="9">
        <f>Table_dat150_[[#This Row],[Log Quadratic Trend]]+Table_dat150_[[#This Row],[Cycle]]</f>
        <v>6.7177499938429666</v>
      </c>
      <c r="Q114" s="9">
        <f>Table_dat150_[[#This Row],[LogExpenditure]]-Table_dat150_[[#This Row],[Log Quadratic Trend]]-Table_dat150_[[#This Row],[Cycle]]</f>
        <v>-4.3188602028540225E-2</v>
      </c>
      <c r="R114" s="9">
        <f>AVERAGEIF(Table_dat150_[Quarter], B114, Table_dat150_[High Frequency])</f>
        <v>-4.2281954239907563E-2</v>
      </c>
      <c r="S114" s="9">
        <f>Table_dat150_[[#This Row],[S0]]-AVERAGE($R$6:$R$9)</f>
        <v>-4.2188413571464481E-2</v>
      </c>
    </row>
    <row r="115" spans="1:19" x14ac:dyDescent="0.3">
      <c r="A115">
        <v>1978</v>
      </c>
      <c r="B115">
        <v>2</v>
      </c>
      <c r="C115" s="1">
        <f>DATE(Table_dat150_[[#This Row],[Year]],(Table_dat150_[[#This Row],[Quarter]]-1)*3+2,15)</f>
        <v>28625</v>
      </c>
      <c r="D115">
        <f>Table_dat150_[[#This Row],[Year]]+1/8+(Table_dat150_[[#This Row],[Quarter]]-1)/4</f>
        <v>1978.375</v>
      </c>
      <c r="E115">
        <f>Table_dat150_[[#This Row],[DecDate]]^2</f>
        <v>3913967.640625</v>
      </c>
      <c r="F115">
        <v>836</v>
      </c>
      <c r="G115" s="8">
        <f>LN(Table_dat150_[[#This Row],[Expenditure]])</f>
        <v>6.7286286130847017</v>
      </c>
      <c r="H115" s="9">
        <f t="shared" si="2"/>
        <v>5.5555555555555552E-2</v>
      </c>
      <c r="I115" s="9">
        <f>(1+Table_dat150_[[#This Row],[gt]])^4 -1</f>
        <v>0.24143613778387452</v>
      </c>
      <c r="J115" s="9">
        <f>$V$18+$V$19*Table_dat150_[[#This Row],[DecDate]]</f>
        <v>831.38036629671842</v>
      </c>
      <c r="K115" s="9">
        <f>$V$37+$V$38*Table_dat150_[[#This Row],[DecDate]]+$V$39*Table_dat150_[[#This Row],[DecDate2]]</f>
        <v>823.54454652775894</v>
      </c>
      <c r="L115" s="9">
        <f>$AF$18+$AF$19*Table_dat150_[[#This Row],[DecDate]]</f>
        <v>6.7156732262653795</v>
      </c>
      <c r="M115" s="9">
        <f>$AF$37+$AF$38*Table_dat150_[[#This Row],[DecDate]]+$AF$39*Table_dat150_[[#This Row],[DecDate2]]</f>
        <v>6.7133765192082642</v>
      </c>
      <c r="N115" s="9">
        <f>Table_dat150_[[#This Row],[LogExpenditure]]-Table_dat150_[[#This Row],[Log Quadratic Trend]]</f>
        <v>1.5252093876437556E-2</v>
      </c>
      <c r="O115" s="9">
        <f t="shared" si="3"/>
        <v>-5.1813122241952669E-3</v>
      </c>
      <c r="P115" s="9">
        <f>Table_dat150_[[#This Row],[Log Quadratic Trend]]+Table_dat150_[[#This Row],[Cycle]]</f>
        <v>6.7081952069840689</v>
      </c>
      <c r="Q115" s="9">
        <f>Table_dat150_[[#This Row],[LogExpenditure]]-Table_dat150_[[#This Row],[Log Quadratic Trend]]-Table_dat150_[[#This Row],[Cycle]]</f>
        <v>2.0433406100632823E-2</v>
      </c>
      <c r="R115" s="9">
        <f>AVERAGEIF(Table_dat150_[Quarter], B115, Table_dat150_[High Frequency])</f>
        <v>3.2923068860816217E-2</v>
      </c>
      <c r="S115" s="9">
        <f>Table_dat150_[[#This Row],[S0]]-AVERAGE($R$6:$R$9)</f>
        <v>3.3016609529259298E-2</v>
      </c>
    </row>
    <row r="116" spans="1:19" x14ac:dyDescent="0.3">
      <c r="A116">
        <v>1978</v>
      </c>
      <c r="B116">
        <v>3</v>
      </c>
      <c r="C116" s="1">
        <f>DATE(Table_dat150_[[#This Row],[Year]],(Table_dat150_[[#This Row],[Quarter]]-1)*3+2,15)</f>
        <v>28717</v>
      </c>
      <c r="D116">
        <f>Table_dat150_[[#This Row],[Year]]+1/8+(Table_dat150_[[#This Row],[Quarter]]-1)/4</f>
        <v>1978.625</v>
      </c>
      <c r="E116">
        <f>Table_dat150_[[#This Row],[DecDate]]^2</f>
        <v>3914956.890625</v>
      </c>
      <c r="F116">
        <v>851</v>
      </c>
      <c r="G116" s="8">
        <f>LN(Table_dat150_[[#This Row],[Expenditure]])</f>
        <v>6.7464121285733745</v>
      </c>
      <c r="H116" s="9">
        <f t="shared" si="2"/>
        <v>1.7942583732057416E-2</v>
      </c>
      <c r="I116" s="9">
        <f>(1+Table_dat150_[[#This Row],[gt]])^4 -1</f>
        <v>7.3725161913974269E-2</v>
      </c>
      <c r="J116" s="9">
        <f>$V$18+$V$19*Table_dat150_[[#This Row],[DecDate]]</f>
        <v>832.68602184054544</v>
      </c>
      <c r="K116" s="9">
        <f>$V$37+$V$38*Table_dat150_[[#This Row],[DecDate]]+$V$39*Table_dat150_[[#This Row],[DecDate2]]</f>
        <v>824.77594146791671</v>
      </c>
      <c r="L116" s="9">
        <f>$AF$18+$AF$19*Table_dat150_[[#This Row],[DecDate]]</f>
        <v>6.7171792550161546</v>
      </c>
      <c r="M116" s="9">
        <f>$AF$37+$AF$38*Table_dat150_[[#This Row],[DecDate]]+$AF$39*Table_dat150_[[#This Row],[DecDate2]]</f>
        <v>6.7148607819080617</v>
      </c>
      <c r="N116" s="9">
        <f>Table_dat150_[[#This Row],[LogExpenditure]]-Table_dat150_[[#This Row],[Log Quadratic Trend]]</f>
        <v>3.1551346665312785E-2</v>
      </c>
      <c r="O116" s="9">
        <f t="shared" si="3"/>
        <v>-2.5665767180674593E-3</v>
      </c>
      <c r="P116" s="9">
        <f>Table_dat150_[[#This Row],[Log Quadratic Trend]]+Table_dat150_[[#This Row],[Cycle]]</f>
        <v>6.7122942051899939</v>
      </c>
      <c r="Q116" s="9">
        <f>Table_dat150_[[#This Row],[LogExpenditure]]-Table_dat150_[[#This Row],[Log Quadratic Trend]]-Table_dat150_[[#This Row],[Cycle]]</f>
        <v>3.4117923383380246E-2</v>
      </c>
      <c r="R116" s="9">
        <f>AVERAGEIF(Table_dat150_[Quarter], B116, Table_dat150_[High Frequency])</f>
        <v>3.7456808917954526E-2</v>
      </c>
      <c r="S116" s="9">
        <f>Table_dat150_[[#This Row],[S0]]-AVERAGE($R$6:$R$9)</f>
        <v>3.7550349586397608E-2</v>
      </c>
    </row>
    <row r="117" spans="1:19" x14ac:dyDescent="0.3">
      <c r="A117">
        <v>1978</v>
      </c>
      <c r="B117">
        <v>4</v>
      </c>
      <c r="C117" s="1">
        <f>DATE(Table_dat150_[[#This Row],[Year]],(Table_dat150_[[#This Row],[Quarter]]-1)*3+2,15)</f>
        <v>28809</v>
      </c>
      <c r="D117">
        <f>Table_dat150_[[#This Row],[Year]]+1/8+(Table_dat150_[[#This Row],[Quarter]]-1)/4</f>
        <v>1978.875</v>
      </c>
      <c r="E117">
        <f>Table_dat150_[[#This Row],[DecDate]]^2</f>
        <v>3915946.265625</v>
      </c>
      <c r="F117">
        <v>797</v>
      </c>
      <c r="G117" s="8">
        <f>LN(Table_dat150_[[#This Row],[Expenditure]])</f>
        <v>6.6808546787902152</v>
      </c>
      <c r="H117" s="9">
        <f t="shared" si="2"/>
        <v>-6.3454759106933017E-2</v>
      </c>
      <c r="I117" s="9">
        <f>(1+Table_dat150_[[#This Row],[gt]])^4 -1</f>
        <v>-0.23066578894175138</v>
      </c>
      <c r="J117" s="9">
        <f>$V$18+$V$19*Table_dat150_[[#This Row],[DecDate]]</f>
        <v>833.99167738437245</v>
      </c>
      <c r="K117" s="9">
        <f>$V$37+$V$38*Table_dat150_[[#This Row],[DecDate]]+$V$39*Table_dat150_[[#This Row],[DecDate2]]</f>
        <v>826.0099885724776</v>
      </c>
      <c r="L117" s="9">
        <f>$AF$18+$AF$19*Table_dat150_[[#This Row],[DecDate]]</f>
        <v>6.7186852837669298</v>
      </c>
      <c r="M117" s="9">
        <f>$AF$37+$AF$38*Table_dat150_[[#This Row],[DecDate]]+$AF$39*Table_dat150_[[#This Row],[DecDate2]]</f>
        <v>6.7163458219668257</v>
      </c>
      <c r="N117" s="9">
        <f>Table_dat150_[[#This Row],[LogExpenditure]]-Table_dat150_[[#This Row],[Log Quadratic Trend]]</f>
        <v>-3.5491143176610507E-2</v>
      </c>
      <c r="O117" s="9">
        <f t="shared" si="3"/>
        <v>7.000918958177671E-3</v>
      </c>
      <c r="P117" s="9">
        <f>Table_dat150_[[#This Row],[Log Quadratic Trend]]+Table_dat150_[[#This Row],[Cycle]]</f>
        <v>6.7233467409250034</v>
      </c>
      <c r="Q117" s="9">
        <f>Table_dat150_[[#This Row],[LogExpenditure]]-Table_dat150_[[#This Row],[Log Quadratic Trend]]-Table_dat150_[[#This Row],[Cycle]]</f>
        <v>-4.2492062134788178E-2</v>
      </c>
      <c r="R117" s="9">
        <f>AVERAGEIF(Table_dat150_[Quarter], B117, Table_dat150_[High Frequency])</f>
        <v>-2.8472086212635514E-2</v>
      </c>
      <c r="S117" s="9">
        <f>Table_dat150_[[#This Row],[S0]]-AVERAGE($R$6:$R$9)</f>
        <v>-2.8378545544192432E-2</v>
      </c>
    </row>
    <row r="118" spans="1:19" x14ac:dyDescent="0.3">
      <c r="A118">
        <v>1979</v>
      </c>
      <c r="B118">
        <v>1</v>
      </c>
      <c r="C118" s="1">
        <f>DATE(Table_dat150_[[#This Row],[Year]],(Table_dat150_[[#This Row],[Quarter]]-1)*3+2,15)</f>
        <v>28901</v>
      </c>
      <c r="D118">
        <f>Table_dat150_[[#This Row],[Year]]+1/8+(Table_dat150_[[#This Row],[Quarter]]-1)/4</f>
        <v>1979.125</v>
      </c>
      <c r="E118">
        <f>Table_dat150_[[#This Row],[DecDate]]^2</f>
        <v>3916935.765625</v>
      </c>
      <c r="F118">
        <v>838</v>
      </c>
      <c r="G118" s="8">
        <f>LN(Table_dat150_[[#This Row],[Expenditure]])</f>
        <v>6.7310181004820828</v>
      </c>
      <c r="H118" s="9">
        <f t="shared" si="2"/>
        <v>5.1442910915934753E-2</v>
      </c>
      <c r="I118" s="9">
        <f>(1+Table_dat150_[[#This Row],[gt]])^4 -1</f>
        <v>0.22220143399440451</v>
      </c>
      <c r="J118" s="9">
        <f>$V$18+$V$19*Table_dat150_[[#This Row],[DecDate]]</f>
        <v>835.29733292819947</v>
      </c>
      <c r="K118" s="9">
        <f>$V$37+$V$38*Table_dat150_[[#This Row],[DecDate]]+$V$39*Table_dat150_[[#This Row],[DecDate2]]</f>
        <v>827.2466878414707</v>
      </c>
      <c r="L118" s="9">
        <f>$AF$18+$AF$19*Table_dat150_[[#This Row],[DecDate]]</f>
        <v>6.7201913125177066</v>
      </c>
      <c r="M118" s="9">
        <f>$AF$37+$AF$38*Table_dat150_[[#This Row],[DecDate]]+$AF$39*Table_dat150_[[#This Row],[DecDate2]]</f>
        <v>6.7178316393845598</v>
      </c>
      <c r="N118" s="9">
        <f>Table_dat150_[[#This Row],[LogExpenditure]]-Table_dat150_[[#This Row],[Log Quadratic Trend]]</f>
        <v>1.3186461097522972E-2</v>
      </c>
      <c r="O118" s="9">
        <f t="shared" si="3"/>
        <v>1.0943163320360582E-2</v>
      </c>
      <c r="P118" s="9">
        <f>Table_dat150_[[#This Row],[Log Quadratic Trend]]+Table_dat150_[[#This Row],[Cycle]]</f>
        <v>6.7287748027049208</v>
      </c>
      <c r="Q118" s="9">
        <f>Table_dat150_[[#This Row],[LogExpenditure]]-Table_dat150_[[#This Row],[Log Quadratic Trend]]-Table_dat150_[[#This Row],[Cycle]]</f>
        <v>2.24329777716239E-3</v>
      </c>
      <c r="R118" s="9">
        <f>AVERAGEIF(Table_dat150_[Quarter], B118, Table_dat150_[High Frequency])</f>
        <v>-4.2281954239907563E-2</v>
      </c>
      <c r="S118" s="9">
        <f>Table_dat150_[[#This Row],[S0]]-AVERAGE($R$6:$R$9)</f>
        <v>-4.2188413571464481E-2</v>
      </c>
    </row>
    <row r="119" spans="1:19" x14ac:dyDescent="0.3">
      <c r="A119">
        <v>1979</v>
      </c>
      <c r="B119">
        <v>2</v>
      </c>
      <c r="C119" s="1">
        <f>DATE(Table_dat150_[[#This Row],[Year]],(Table_dat150_[[#This Row],[Quarter]]-1)*3+2,15)</f>
        <v>28990</v>
      </c>
      <c r="D119">
        <f>Table_dat150_[[#This Row],[Year]]+1/8+(Table_dat150_[[#This Row],[Quarter]]-1)/4</f>
        <v>1979.375</v>
      </c>
      <c r="E119">
        <f>Table_dat150_[[#This Row],[DecDate]]^2</f>
        <v>3917925.390625</v>
      </c>
      <c r="F119">
        <v>837</v>
      </c>
      <c r="G119" s="8">
        <f>LN(Table_dat150_[[#This Row],[Expenditure]])</f>
        <v>6.7298240704894754</v>
      </c>
      <c r="H119" s="9">
        <f t="shared" si="2"/>
        <v>-1.1933174224343676E-3</v>
      </c>
      <c r="I119" s="9">
        <f>(1+Table_dat150_[[#This Row],[gt]])^4 -1</f>
        <v>-4.7647324460522444E-3</v>
      </c>
      <c r="J119" s="9">
        <f>$V$18+$V$19*Table_dat150_[[#This Row],[DecDate]]</f>
        <v>836.60298847202466</v>
      </c>
      <c r="K119" s="9">
        <f>$V$37+$V$38*Table_dat150_[[#This Row],[DecDate]]+$V$39*Table_dat150_[[#This Row],[DecDate2]]</f>
        <v>828.48603927488148</v>
      </c>
      <c r="L119" s="9">
        <f>$AF$18+$AF$19*Table_dat150_[[#This Row],[DecDate]]</f>
        <v>6.7216973412684817</v>
      </c>
      <c r="M119" s="9">
        <f>$AF$37+$AF$38*Table_dat150_[[#This Row],[DecDate]]+$AF$39*Table_dat150_[[#This Row],[DecDate2]]</f>
        <v>6.7193182341612498</v>
      </c>
      <c r="N119" s="9">
        <f>Table_dat150_[[#This Row],[LogExpenditure]]-Table_dat150_[[#This Row],[Log Quadratic Trend]]</f>
        <v>1.0505836328225548E-2</v>
      </c>
      <c r="O119" s="9">
        <f t="shared" si="3"/>
        <v>-2.404135597704915E-3</v>
      </c>
      <c r="P119" s="9">
        <f>Table_dat150_[[#This Row],[Log Quadratic Trend]]+Table_dat150_[[#This Row],[Cycle]]</f>
        <v>6.7169140985635449</v>
      </c>
      <c r="Q119" s="9">
        <f>Table_dat150_[[#This Row],[LogExpenditure]]-Table_dat150_[[#This Row],[Log Quadratic Trend]]-Table_dat150_[[#This Row],[Cycle]]</f>
        <v>1.2909971925930463E-2</v>
      </c>
      <c r="R119" s="9">
        <f>AVERAGEIF(Table_dat150_[Quarter], B119, Table_dat150_[High Frequency])</f>
        <v>3.2923068860816217E-2</v>
      </c>
      <c r="S119" s="9">
        <f>Table_dat150_[[#This Row],[S0]]-AVERAGE($R$6:$R$9)</f>
        <v>3.3016609529259298E-2</v>
      </c>
    </row>
    <row r="120" spans="1:19" x14ac:dyDescent="0.3">
      <c r="A120">
        <v>1979</v>
      </c>
      <c r="B120">
        <v>3</v>
      </c>
      <c r="C120" s="1">
        <f>DATE(Table_dat150_[[#This Row],[Year]],(Table_dat150_[[#This Row],[Quarter]]-1)*3+2,15)</f>
        <v>29082</v>
      </c>
      <c r="D120">
        <f>Table_dat150_[[#This Row],[Year]]+1/8+(Table_dat150_[[#This Row],[Quarter]]-1)/4</f>
        <v>1979.625</v>
      </c>
      <c r="E120">
        <f>Table_dat150_[[#This Row],[DecDate]]^2</f>
        <v>3918915.140625</v>
      </c>
      <c r="F120">
        <v>859</v>
      </c>
      <c r="G120" s="8">
        <f>LN(Table_dat150_[[#This Row],[Expenditure]])</f>
        <v>6.7557689219842549</v>
      </c>
      <c r="H120" s="9">
        <f t="shared" si="2"/>
        <v>2.6284348864994027E-2</v>
      </c>
      <c r="I120" s="9">
        <f>(1+Table_dat150_[[#This Row],[gt]])^4 -1</f>
        <v>0.1093557106852121</v>
      </c>
      <c r="J120" s="9">
        <f>$V$18+$V$19*Table_dat150_[[#This Row],[DecDate]]</f>
        <v>837.90864401585168</v>
      </c>
      <c r="K120" s="9">
        <f>$V$37+$V$38*Table_dat150_[[#This Row],[DecDate]]+$V$39*Table_dat150_[[#This Row],[DecDate2]]</f>
        <v>829.72804287272447</v>
      </c>
      <c r="L120" s="9">
        <f>$AF$18+$AF$19*Table_dat150_[[#This Row],[DecDate]]</f>
        <v>6.7232033700192568</v>
      </c>
      <c r="M120" s="9">
        <f>$AF$37+$AF$38*Table_dat150_[[#This Row],[DecDate]]+$AF$39*Table_dat150_[[#This Row],[DecDate2]]</f>
        <v>6.7208056062969028</v>
      </c>
      <c r="N120" s="9">
        <f>Table_dat150_[[#This Row],[LogExpenditure]]-Table_dat150_[[#This Row],[Log Quadratic Trend]]</f>
        <v>3.4963315687352114E-2</v>
      </c>
      <c r="O120" s="9">
        <f t="shared" si="3"/>
        <v>-4.1426063225278751E-3</v>
      </c>
      <c r="P120" s="9">
        <f>Table_dat150_[[#This Row],[Log Quadratic Trend]]+Table_dat150_[[#This Row],[Cycle]]</f>
        <v>6.7166629999743748</v>
      </c>
      <c r="Q120" s="9">
        <f>Table_dat150_[[#This Row],[LogExpenditure]]-Table_dat150_[[#This Row],[Log Quadratic Trend]]-Table_dat150_[[#This Row],[Cycle]]</f>
        <v>3.9105922009879987E-2</v>
      </c>
      <c r="R120" s="9">
        <f>AVERAGEIF(Table_dat150_[Quarter], B120, Table_dat150_[High Frequency])</f>
        <v>3.7456808917954526E-2</v>
      </c>
      <c r="S120" s="9">
        <f>Table_dat150_[[#This Row],[S0]]-AVERAGE($R$6:$R$9)</f>
        <v>3.7550349586397608E-2</v>
      </c>
    </row>
    <row r="121" spans="1:19" x14ac:dyDescent="0.3">
      <c r="A121">
        <v>1979</v>
      </c>
      <c r="B121">
        <v>4</v>
      </c>
      <c r="C121" s="1">
        <f>DATE(Table_dat150_[[#This Row],[Year]],(Table_dat150_[[#This Row],[Quarter]]-1)*3+2,15)</f>
        <v>29174</v>
      </c>
      <c r="D121">
        <f>Table_dat150_[[#This Row],[Year]]+1/8+(Table_dat150_[[#This Row],[Quarter]]-1)/4</f>
        <v>1979.875</v>
      </c>
      <c r="E121">
        <f>Table_dat150_[[#This Row],[DecDate]]^2</f>
        <v>3919905.015625</v>
      </c>
      <c r="F121">
        <v>802</v>
      </c>
      <c r="G121" s="8">
        <f>LN(Table_dat150_[[#This Row],[Expenditure]])</f>
        <v>6.6871086078665147</v>
      </c>
      <c r="H121" s="9">
        <f t="shared" si="2"/>
        <v>-6.6356228172293363E-2</v>
      </c>
      <c r="I121" s="9">
        <f>(1+Table_dat150_[[#This Row],[gt]])^4 -1</f>
        <v>-0.24015533630784647</v>
      </c>
      <c r="J121" s="9">
        <f>$V$18+$V$19*Table_dat150_[[#This Row],[DecDate]]</f>
        <v>839.21429955967869</v>
      </c>
      <c r="K121" s="9">
        <f>$V$37+$V$38*Table_dat150_[[#This Row],[DecDate]]+$V$39*Table_dat150_[[#This Row],[DecDate2]]</f>
        <v>830.97269863497058</v>
      </c>
      <c r="L121" s="9">
        <f>$AF$18+$AF$19*Table_dat150_[[#This Row],[DecDate]]</f>
        <v>6.7247093987700319</v>
      </c>
      <c r="M121" s="9">
        <f>$AF$37+$AF$38*Table_dat150_[[#This Row],[DecDate]]+$AF$39*Table_dat150_[[#This Row],[DecDate2]]</f>
        <v>6.7222937557915294</v>
      </c>
      <c r="N121" s="9">
        <f>Table_dat150_[[#This Row],[LogExpenditure]]-Table_dat150_[[#This Row],[Log Quadratic Trend]]</f>
        <v>-3.5185147925014704E-2</v>
      </c>
      <c r="O121" s="9">
        <f t="shared" si="3"/>
        <v>4.3771492736727428E-3</v>
      </c>
      <c r="P121" s="9">
        <f>Table_dat150_[[#This Row],[Log Quadratic Trend]]+Table_dat150_[[#This Row],[Cycle]]</f>
        <v>6.7266709050652018</v>
      </c>
      <c r="Q121" s="9">
        <f>Table_dat150_[[#This Row],[LogExpenditure]]-Table_dat150_[[#This Row],[Log Quadratic Trend]]-Table_dat150_[[#This Row],[Cycle]]</f>
        <v>-3.9562297198687445E-2</v>
      </c>
      <c r="R121" s="9">
        <f>AVERAGEIF(Table_dat150_[Quarter], B121, Table_dat150_[High Frequency])</f>
        <v>-2.8472086212635514E-2</v>
      </c>
      <c r="S121" s="9">
        <f>Table_dat150_[[#This Row],[S0]]-AVERAGE($R$6:$R$9)</f>
        <v>-2.8378545544192432E-2</v>
      </c>
    </row>
    <row r="122" spans="1:19" x14ac:dyDescent="0.3">
      <c r="A122">
        <v>1980</v>
      </c>
      <c r="B122">
        <v>1</v>
      </c>
      <c r="C122" s="1">
        <f>DATE(Table_dat150_[[#This Row],[Year]],(Table_dat150_[[#This Row],[Quarter]]-1)*3+2,15)</f>
        <v>29266</v>
      </c>
      <c r="D122">
        <f>Table_dat150_[[#This Row],[Year]]+1/8+(Table_dat150_[[#This Row],[Quarter]]-1)/4</f>
        <v>1980.125</v>
      </c>
      <c r="E122">
        <f>Table_dat150_[[#This Row],[DecDate]]^2</f>
        <v>3920895.015625</v>
      </c>
      <c r="F122">
        <v>796</v>
      </c>
      <c r="G122" s="8">
        <f>LN(Table_dat150_[[#This Row],[Expenditure]])</f>
        <v>6.6795991858443831</v>
      </c>
      <c r="H122" s="9">
        <f t="shared" si="2"/>
        <v>-7.481296758104738E-3</v>
      </c>
      <c r="I122" s="9">
        <f>(1+Table_dat150_[[#This Row],[gt]])^4 -1</f>
        <v>-2.9591039999471769E-2</v>
      </c>
      <c r="J122" s="9">
        <f>$V$18+$V$19*Table_dat150_[[#This Row],[DecDate]]</f>
        <v>840.51995510350389</v>
      </c>
      <c r="K122" s="9">
        <f>$V$37+$V$38*Table_dat150_[[#This Row],[DecDate]]+$V$39*Table_dat150_[[#This Row],[DecDate2]]</f>
        <v>832.22000656163436</v>
      </c>
      <c r="L122" s="9">
        <f>$AF$18+$AF$19*Table_dat150_[[#This Row],[DecDate]]</f>
        <v>6.726215427520807</v>
      </c>
      <c r="M122" s="9">
        <f>$AF$37+$AF$38*Table_dat150_[[#This Row],[DecDate]]+$AF$39*Table_dat150_[[#This Row],[DecDate2]]</f>
        <v>6.7237826826451084</v>
      </c>
      <c r="N122" s="9">
        <f>Table_dat150_[[#This Row],[LogExpenditure]]-Table_dat150_[[#This Row],[Log Quadratic Trend]]</f>
        <v>-4.4183496800725308E-2</v>
      </c>
      <c r="O122" s="9">
        <f t="shared" si="3"/>
        <v>1.9301367555630833E-3</v>
      </c>
      <c r="P122" s="9">
        <f>Table_dat150_[[#This Row],[Log Quadratic Trend]]+Table_dat150_[[#This Row],[Cycle]]</f>
        <v>6.7257128194006714</v>
      </c>
      <c r="Q122" s="9">
        <f>Table_dat150_[[#This Row],[LogExpenditure]]-Table_dat150_[[#This Row],[Log Quadratic Trend]]-Table_dat150_[[#This Row],[Cycle]]</f>
        <v>-4.6113633556288391E-2</v>
      </c>
      <c r="R122" s="9">
        <f>AVERAGEIF(Table_dat150_[Quarter], B122, Table_dat150_[High Frequency])</f>
        <v>-4.2281954239907563E-2</v>
      </c>
      <c r="S122" s="9">
        <f>Table_dat150_[[#This Row],[S0]]-AVERAGE($R$6:$R$9)</f>
        <v>-4.2188413571464481E-2</v>
      </c>
    </row>
    <row r="123" spans="1:19" x14ac:dyDescent="0.3">
      <c r="A123">
        <v>1980</v>
      </c>
      <c r="B123">
        <v>2</v>
      </c>
      <c r="C123" s="1">
        <f>DATE(Table_dat150_[[#This Row],[Year]],(Table_dat150_[[#This Row],[Quarter]]-1)*3+2,15)</f>
        <v>29356</v>
      </c>
      <c r="D123">
        <f>Table_dat150_[[#This Row],[Year]]+1/8+(Table_dat150_[[#This Row],[Quarter]]-1)/4</f>
        <v>1980.375</v>
      </c>
      <c r="E123">
        <f>Table_dat150_[[#This Row],[DecDate]]^2</f>
        <v>3921885.140625</v>
      </c>
      <c r="F123">
        <v>881</v>
      </c>
      <c r="G123" s="8">
        <f>LN(Table_dat150_[[#This Row],[Expenditure]])</f>
        <v>6.7810576259361799</v>
      </c>
      <c r="H123" s="9">
        <f t="shared" si="2"/>
        <v>0.10678391959798995</v>
      </c>
      <c r="I123" s="9">
        <f>(1+Table_dat150_[[#This Row],[gt]])^4 -1</f>
        <v>0.50055308032942536</v>
      </c>
      <c r="J123" s="9">
        <f>$V$18+$V$19*Table_dat150_[[#This Row],[DecDate]]</f>
        <v>841.8256106473309</v>
      </c>
      <c r="K123" s="9">
        <f>$V$37+$V$38*Table_dat150_[[#This Row],[DecDate]]+$V$39*Table_dat150_[[#This Row],[DecDate2]]</f>
        <v>833.46996665271581</v>
      </c>
      <c r="L123" s="9">
        <f>$AF$18+$AF$19*Table_dat150_[[#This Row],[DecDate]]</f>
        <v>6.7277214562715821</v>
      </c>
      <c r="M123" s="9">
        <f>$AF$37+$AF$38*Table_dat150_[[#This Row],[DecDate]]+$AF$39*Table_dat150_[[#This Row],[DecDate2]]</f>
        <v>6.7252723868576538</v>
      </c>
      <c r="N123" s="9">
        <f>Table_dat150_[[#This Row],[LogExpenditure]]-Table_dat150_[[#This Row],[Log Quadratic Trend]]</f>
        <v>5.5785239078526061E-2</v>
      </c>
      <c r="O123" s="9">
        <f t="shared" si="3"/>
        <v>-1.4291632363872963E-2</v>
      </c>
      <c r="P123" s="9">
        <f>Table_dat150_[[#This Row],[Log Quadratic Trend]]+Table_dat150_[[#This Row],[Cycle]]</f>
        <v>6.7109807544937805</v>
      </c>
      <c r="Q123" s="9">
        <f>Table_dat150_[[#This Row],[LogExpenditure]]-Table_dat150_[[#This Row],[Log Quadratic Trend]]-Table_dat150_[[#This Row],[Cycle]]</f>
        <v>7.0076871442399019E-2</v>
      </c>
      <c r="R123" s="9">
        <f>AVERAGEIF(Table_dat150_[Quarter], B123, Table_dat150_[High Frequency])</f>
        <v>3.2923068860816217E-2</v>
      </c>
      <c r="S123" s="9">
        <f>Table_dat150_[[#This Row],[S0]]-AVERAGE($R$6:$R$9)</f>
        <v>3.3016609529259298E-2</v>
      </c>
    </row>
    <row r="124" spans="1:19" x14ac:dyDescent="0.3">
      <c r="A124">
        <v>1980</v>
      </c>
      <c r="B124">
        <v>3</v>
      </c>
      <c r="C124" s="1">
        <f>DATE(Table_dat150_[[#This Row],[Year]],(Table_dat150_[[#This Row],[Quarter]]-1)*3+2,15)</f>
        <v>29448</v>
      </c>
      <c r="D124">
        <f>Table_dat150_[[#This Row],[Year]]+1/8+(Table_dat150_[[#This Row],[Quarter]]-1)/4</f>
        <v>1980.625</v>
      </c>
      <c r="E124">
        <f>Table_dat150_[[#This Row],[DecDate]]^2</f>
        <v>3922875.390625</v>
      </c>
      <c r="F124">
        <v>833</v>
      </c>
      <c r="G124" s="8">
        <f>LN(Table_dat150_[[#This Row],[Expenditure]])</f>
        <v>6.7250336421668431</v>
      </c>
      <c r="H124" s="9">
        <f t="shared" si="2"/>
        <v>-5.4483541430192961E-2</v>
      </c>
      <c r="I124" s="9">
        <f>(1+Table_dat150_[[#This Row],[gt]])^4 -1</f>
        <v>-0.20076154431172899</v>
      </c>
      <c r="J124" s="9">
        <f>$V$18+$V$19*Table_dat150_[[#This Row],[DecDate]]</f>
        <v>843.13126619115792</v>
      </c>
      <c r="K124" s="9">
        <f>$V$37+$V$38*Table_dat150_[[#This Row],[DecDate]]+$V$39*Table_dat150_[[#This Row],[DecDate2]]</f>
        <v>834.72257890818582</v>
      </c>
      <c r="L124" s="9">
        <f>$AF$18+$AF$19*Table_dat150_[[#This Row],[DecDate]]</f>
        <v>6.729227485022359</v>
      </c>
      <c r="M124" s="9">
        <f>$AF$37+$AF$38*Table_dat150_[[#This Row],[DecDate]]+$AF$39*Table_dat150_[[#This Row],[DecDate2]]</f>
        <v>6.7267628684291658</v>
      </c>
      <c r="N124" s="9">
        <f>Table_dat150_[[#This Row],[LogExpenditure]]-Table_dat150_[[#This Row],[Log Quadratic Trend]]</f>
        <v>-1.7292262623227472E-3</v>
      </c>
      <c r="O124" s="9">
        <f t="shared" si="3"/>
        <v>-9.1598044816253218E-3</v>
      </c>
      <c r="P124" s="9">
        <f>Table_dat150_[[#This Row],[Log Quadratic Trend]]+Table_dat150_[[#This Row],[Cycle]]</f>
        <v>6.7176030639475401</v>
      </c>
      <c r="Q124" s="9">
        <f>Table_dat150_[[#This Row],[LogExpenditure]]-Table_dat150_[[#This Row],[Log Quadratic Trend]]-Table_dat150_[[#This Row],[Cycle]]</f>
        <v>7.4305782193025745E-3</v>
      </c>
      <c r="R124" s="9">
        <f>AVERAGEIF(Table_dat150_[Quarter], B124, Table_dat150_[High Frequency])</f>
        <v>3.7456808917954526E-2</v>
      </c>
      <c r="S124" s="9">
        <f>Table_dat150_[[#This Row],[S0]]-AVERAGE($R$6:$R$9)</f>
        <v>3.7550349586397608E-2</v>
      </c>
    </row>
    <row r="125" spans="1:19" x14ac:dyDescent="0.3">
      <c r="A125">
        <v>1980</v>
      </c>
      <c r="B125">
        <v>4</v>
      </c>
      <c r="C125" s="1">
        <f>DATE(Table_dat150_[[#This Row],[Year]],(Table_dat150_[[#This Row],[Quarter]]-1)*3+2,15)</f>
        <v>29540</v>
      </c>
      <c r="D125">
        <f>Table_dat150_[[#This Row],[Year]]+1/8+(Table_dat150_[[#This Row],[Quarter]]-1)/4</f>
        <v>1980.875</v>
      </c>
      <c r="E125">
        <f>Table_dat150_[[#This Row],[DecDate]]^2</f>
        <v>3923865.765625</v>
      </c>
      <c r="F125">
        <v>798</v>
      </c>
      <c r="G125" s="8">
        <f>LN(Table_dat150_[[#This Row],[Expenditure]])</f>
        <v>6.6821085974498091</v>
      </c>
      <c r="H125" s="9">
        <f t="shared" si="2"/>
        <v>-4.2016806722689079E-2</v>
      </c>
      <c r="I125" s="9">
        <f>(1+Table_dat150_[[#This Row],[gt]])^4 -1</f>
        <v>-0.15776834583511667</v>
      </c>
      <c r="J125" s="9">
        <f>$V$18+$V$19*Table_dat150_[[#This Row],[DecDate]]</f>
        <v>844.43692173498312</v>
      </c>
      <c r="K125" s="9">
        <f>$V$37+$V$38*Table_dat150_[[#This Row],[DecDate]]+$V$39*Table_dat150_[[#This Row],[DecDate2]]</f>
        <v>835.97784332808806</v>
      </c>
      <c r="L125" s="9">
        <f>$AF$18+$AF$19*Table_dat150_[[#This Row],[DecDate]]</f>
        <v>6.7307335137731341</v>
      </c>
      <c r="M125" s="9">
        <f>$AF$37+$AF$38*Table_dat150_[[#This Row],[DecDate]]+$AF$39*Table_dat150_[[#This Row],[DecDate2]]</f>
        <v>6.7282541273596372</v>
      </c>
      <c r="N125" s="9">
        <f>Table_dat150_[[#This Row],[LogExpenditure]]-Table_dat150_[[#This Row],[Log Quadratic Trend]]</f>
        <v>-4.614552990982812E-2</v>
      </c>
      <c r="O125" s="9">
        <f t="shared" si="3"/>
        <v>1.1448546521807578E-2</v>
      </c>
      <c r="P125" s="9">
        <f>Table_dat150_[[#This Row],[Log Quadratic Trend]]+Table_dat150_[[#This Row],[Cycle]]</f>
        <v>6.7397026738814452</v>
      </c>
      <c r="Q125" s="9">
        <f>Table_dat150_[[#This Row],[LogExpenditure]]-Table_dat150_[[#This Row],[Log Quadratic Trend]]-Table_dat150_[[#This Row],[Cycle]]</f>
        <v>-5.75940764316357E-2</v>
      </c>
      <c r="R125" s="9">
        <f>AVERAGEIF(Table_dat150_[Quarter], B125, Table_dat150_[High Frequency])</f>
        <v>-2.8472086212635514E-2</v>
      </c>
      <c r="S125" s="9">
        <f>Table_dat150_[[#This Row],[S0]]-AVERAGE($R$6:$R$9)</f>
        <v>-2.8378545544192432E-2</v>
      </c>
    </row>
    <row r="126" spans="1:19" x14ac:dyDescent="0.3">
      <c r="A126">
        <v>1981</v>
      </c>
      <c r="B126">
        <v>1</v>
      </c>
      <c r="C126" s="1">
        <f>DATE(Table_dat150_[[#This Row],[Year]],(Table_dat150_[[#This Row],[Quarter]]-1)*3+2,15)</f>
        <v>29632</v>
      </c>
      <c r="D126">
        <f>Table_dat150_[[#This Row],[Year]]+1/8+(Table_dat150_[[#This Row],[Quarter]]-1)/4</f>
        <v>1981.125</v>
      </c>
      <c r="E126">
        <f>Table_dat150_[[#This Row],[DecDate]]^2</f>
        <v>3924856.265625</v>
      </c>
      <c r="F126">
        <v>829</v>
      </c>
      <c r="G126" s="8">
        <f>LN(Table_dat150_[[#This Row],[Expenditure]])</f>
        <v>6.7202201551352951</v>
      </c>
      <c r="H126" s="9">
        <f t="shared" si="2"/>
        <v>3.8847117794486213E-2</v>
      </c>
      <c r="I126" s="9">
        <f>(1+Table_dat150_[[#This Row],[gt]])^4 -1</f>
        <v>0.16467983644028483</v>
      </c>
      <c r="J126" s="9">
        <f>$V$18+$V$19*Table_dat150_[[#This Row],[DecDate]]</f>
        <v>845.74257727881013</v>
      </c>
      <c r="K126" s="9">
        <f>$V$37+$V$38*Table_dat150_[[#This Row],[DecDate]]+$V$39*Table_dat150_[[#This Row],[DecDate2]]</f>
        <v>837.23575991242251</v>
      </c>
      <c r="L126" s="9">
        <f>$AF$18+$AF$19*Table_dat150_[[#This Row],[DecDate]]</f>
        <v>6.7322395425239092</v>
      </c>
      <c r="M126" s="9">
        <f>$AF$37+$AF$38*Table_dat150_[[#This Row],[DecDate]]+$AF$39*Table_dat150_[[#This Row],[DecDate2]]</f>
        <v>6.7297461636490716</v>
      </c>
      <c r="N126" s="9">
        <f>Table_dat150_[[#This Row],[LogExpenditure]]-Table_dat150_[[#This Row],[Log Quadratic Trend]]</f>
        <v>-9.526008513776496E-3</v>
      </c>
      <c r="O126" s="9">
        <f t="shared" si="3"/>
        <v>3.9652788324877619E-3</v>
      </c>
      <c r="P126" s="9">
        <f>Table_dat150_[[#This Row],[Log Quadratic Trend]]+Table_dat150_[[#This Row],[Cycle]]</f>
        <v>6.7337114424815594</v>
      </c>
      <c r="Q126" s="9">
        <f>Table_dat150_[[#This Row],[LogExpenditure]]-Table_dat150_[[#This Row],[Log Quadratic Trend]]-Table_dat150_[[#This Row],[Cycle]]</f>
        <v>-1.3491287346264258E-2</v>
      </c>
      <c r="R126" s="9">
        <f>AVERAGEIF(Table_dat150_[Quarter], B126, Table_dat150_[High Frequency])</f>
        <v>-4.2281954239907563E-2</v>
      </c>
      <c r="S126" s="9">
        <f>Table_dat150_[[#This Row],[S0]]-AVERAGE($R$6:$R$9)</f>
        <v>-4.2188413571464481E-2</v>
      </c>
    </row>
    <row r="127" spans="1:19" x14ac:dyDescent="0.3">
      <c r="A127">
        <v>1981</v>
      </c>
      <c r="B127">
        <v>2</v>
      </c>
      <c r="C127" s="1">
        <f>DATE(Table_dat150_[[#This Row],[Year]],(Table_dat150_[[#This Row],[Quarter]]-1)*3+2,15)</f>
        <v>29721</v>
      </c>
      <c r="D127">
        <f>Table_dat150_[[#This Row],[Year]]+1/8+(Table_dat150_[[#This Row],[Quarter]]-1)/4</f>
        <v>1981.375</v>
      </c>
      <c r="E127">
        <f>Table_dat150_[[#This Row],[DecDate]]^2</f>
        <v>3925846.890625</v>
      </c>
      <c r="F127">
        <v>889</v>
      </c>
      <c r="G127" s="8">
        <f>LN(Table_dat150_[[#This Row],[Expenditure]])</f>
        <v>6.7900972355139046</v>
      </c>
      <c r="H127" s="9">
        <f t="shared" si="2"/>
        <v>7.2376357056694818E-2</v>
      </c>
      <c r="I127" s="9">
        <f>(1+Table_dat150_[[#This Row],[gt]])^4 -1</f>
        <v>0.32247941778071376</v>
      </c>
      <c r="J127" s="9">
        <f>$V$18+$V$19*Table_dat150_[[#This Row],[DecDate]]</f>
        <v>847.04823282263715</v>
      </c>
      <c r="K127" s="9">
        <f>$V$37+$V$38*Table_dat150_[[#This Row],[DecDate]]+$V$39*Table_dat150_[[#This Row],[DecDate2]]</f>
        <v>838.49632866117463</v>
      </c>
      <c r="L127" s="9">
        <f>$AF$18+$AF$19*Table_dat150_[[#This Row],[DecDate]]</f>
        <v>6.7337455712746843</v>
      </c>
      <c r="M127" s="9">
        <f>$AF$37+$AF$38*Table_dat150_[[#This Row],[DecDate]]+$AF$39*Table_dat150_[[#This Row],[DecDate2]]</f>
        <v>6.7312389772974655</v>
      </c>
      <c r="N127" s="9">
        <f>Table_dat150_[[#This Row],[LogExpenditure]]-Table_dat150_[[#This Row],[Log Quadratic Trend]]</f>
        <v>5.8858258216439197E-2</v>
      </c>
      <c r="O127" s="9">
        <f t="shared" si="3"/>
        <v>-1.4064442772783181E-3</v>
      </c>
      <c r="P127" s="9">
        <f>Table_dat150_[[#This Row],[Log Quadratic Trend]]+Table_dat150_[[#This Row],[Cycle]]</f>
        <v>6.7298325330201871</v>
      </c>
      <c r="Q127" s="9">
        <f>Table_dat150_[[#This Row],[LogExpenditure]]-Table_dat150_[[#This Row],[Log Quadratic Trend]]-Table_dat150_[[#This Row],[Cycle]]</f>
        <v>6.0264702493717515E-2</v>
      </c>
      <c r="R127" s="9">
        <f>AVERAGEIF(Table_dat150_[Quarter], B127, Table_dat150_[High Frequency])</f>
        <v>3.2923068860816217E-2</v>
      </c>
      <c r="S127" s="9">
        <f>Table_dat150_[[#This Row],[S0]]-AVERAGE($R$6:$R$9)</f>
        <v>3.3016609529259298E-2</v>
      </c>
    </row>
    <row r="128" spans="1:19" x14ac:dyDescent="0.3">
      <c r="A128">
        <v>1981</v>
      </c>
      <c r="B128">
        <v>3</v>
      </c>
      <c r="C128" s="1">
        <f>DATE(Table_dat150_[[#This Row],[Year]],(Table_dat150_[[#This Row],[Quarter]]-1)*3+2,15)</f>
        <v>29813</v>
      </c>
      <c r="D128">
        <f>Table_dat150_[[#This Row],[Year]]+1/8+(Table_dat150_[[#This Row],[Quarter]]-1)/4</f>
        <v>1981.625</v>
      </c>
      <c r="E128">
        <f>Table_dat150_[[#This Row],[DecDate]]^2</f>
        <v>3926837.640625</v>
      </c>
      <c r="F128">
        <v>855</v>
      </c>
      <c r="G128" s="8">
        <f>LN(Table_dat150_[[#This Row],[Expenditure]])</f>
        <v>6.7511014689367599</v>
      </c>
      <c r="H128" s="9">
        <f t="shared" si="2"/>
        <v>-3.8245219347581551E-2</v>
      </c>
      <c r="I128" s="9">
        <f>(1+Table_dat150_[[#This Row],[gt]])^4 -1</f>
        <v>-0.14442632173099146</v>
      </c>
      <c r="J128" s="9">
        <f>$V$18+$V$19*Table_dat150_[[#This Row],[DecDate]]</f>
        <v>848.35388836646416</v>
      </c>
      <c r="K128" s="9">
        <f>$V$37+$V$38*Table_dat150_[[#This Row],[DecDate]]+$V$39*Table_dat150_[[#This Row],[DecDate2]]</f>
        <v>839.75954957434442</v>
      </c>
      <c r="L128" s="9">
        <f>$AF$18+$AF$19*Table_dat150_[[#This Row],[DecDate]]</f>
        <v>6.7352516000254594</v>
      </c>
      <c r="M128" s="9">
        <f>$AF$37+$AF$38*Table_dat150_[[#This Row],[DecDate]]+$AF$39*Table_dat150_[[#This Row],[DecDate2]]</f>
        <v>6.7327325683048329</v>
      </c>
      <c r="N128" s="9">
        <f>Table_dat150_[[#This Row],[LogExpenditure]]-Table_dat150_[[#This Row],[Log Quadratic Trend]]</f>
        <v>1.8368900631926977E-2</v>
      </c>
      <c r="O128" s="9">
        <f t="shared" si="3"/>
        <v>1.0703184259060806E-3</v>
      </c>
      <c r="P128" s="9">
        <f>Table_dat150_[[#This Row],[Log Quadratic Trend]]+Table_dat150_[[#This Row],[Cycle]]</f>
        <v>6.7338028867307393</v>
      </c>
      <c r="Q128" s="9">
        <f>Table_dat150_[[#This Row],[LogExpenditure]]-Table_dat150_[[#This Row],[Log Quadratic Trend]]-Table_dat150_[[#This Row],[Cycle]]</f>
        <v>1.7298582206020895E-2</v>
      </c>
      <c r="R128" s="9">
        <f>AVERAGEIF(Table_dat150_[Quarter], B128, Table_dat150_[High Frequency])</f>
        <v>3.7456808917954526E-2</v>
      </c>
      <c r="S128" s="9">
        <f>Table_dat150_[[#This Row],[S0]]-AVERAGE($R$6:$R$9)</f>
        <v>3.7550349586397608E-2</v>
      </c>
    </row>
    <row r="129" spans="1:19" x14ac:dyDescent="0.3">
      <c r="A129">
        <v>1981</v>
      </c>
      <c r="B129">
        <v>4</v>
      </c>
      <c r="C129" s="1">
        <f>DATE(Table_dat150_[[#This Row],[Year]],(Table_dat150_[[#This Row],[Quarter]]-1)*3+2,15)</f>
        <v>29905</v>
      </c>
      <c r="D129">
        <f>Table_dat150_[[#This Row],[Year]]+1/8+(Table_dat150_[[#This Row],[Quarter]]-1)/4</f>
        <v>1981.875</v>
      </c>
      <c r="E129">
        <f>Table_dat150_[[#This Row],[DecDate]]^2</f>
        <v>3927828.515625</v>
      </c>
      <c r="F129">
        <v>817</v>
      </c>
      <c r="G129" s="8">
        <f>LN(Table_dat150_[[#This Row],[Expenditure]])</f>
        <v>6.7056390948600031</v>
      </c>
      <c r="H129" s="9">
        <f t="shared" si="2"/>
        <v>-4.4444444444444446E-2</v>
      </c>
      <c r="I129" s="9">
        <f>(1+Table_dat150_[[#This Row],[gt]])^4 -1</f>
        <v>-0.16627319006249042</v>
      </c>
      <c r="J129" s="9">
        <f>$V$18+$V$19*Table_dat150_[[#This Row],[DecDate]]</f>
        <v>849.65954391028936</v>
      </c>
      <c r="K129" s="9">
        <f>$V$37+$V$38*Table_dat150_[[#This Row],[DecDate]]+$V$39*Table_dat150_[[#This Row],[DecDate2]]</f>
        <v>841.02542265191732</v>
      </c>
      <c r="L129" s="9">
        <f>$AF$18+$AF$19*Table_dat150_[[#This Row],[DecDate]]</f>
        <v>6.7367576287762345</v>
      </c>
      <c r="M129" s="9">
        <f>$AF$37+$AF$38*Table_dat150_[[#This Row],[DecDate]]+$AF$39*Table_dat150_[[#This Row],[DecDate2]]</f>
        <v>6.7342269366711562</v>
      </c>
      <c r="N129" s="9">
        <f>Table_dat150_[[#This Row],[LogExpenditure]]-Table_dat150_[[#This Row],[Log Quadratic Trend]]</f>
        <v>-2.8587841811153147E-2</v>
      </c>
      <c r="O129" s="9">
        <f t="shared" si="3"/>
        <v>4.3437562947904237E-3</v>
      </c>
      <c r="P129" s="9">
        <f>Table_dat150_[[#This Row],[Log Quadratic Trend]]+Table_dat150_[[#This Row],[Cycle]]</f>
        <v>6.738570692965947</v>
      </c>
      <c r="Q129" s="9">
        <f>Table_dat150_[[#This Row],[LogExpenditure]]-Table_dat150_[[#This Row],[Log Quadratic Trend]]-Table_dat150_[[#This Row],[Cycle]]</f>
        <v>-3.2931598105943573E-2</v>
      </c>
      <c r="R129" s="9">
        <f>AVERAGEIF(Table_dat150_[Quarter], B129, Table_dat150_[High Frequency])</f>
        <v>-2.8472086212635514E-2</v>
      </c>
      <c r="S129" s="9">
        <f>Table_dat150_[[#This Row],[S0]]-AVERAGE($R$6:$R$9)</f>
        <v>-2.8378545544192432E-2</v>
      </c>
    </row>
    <row r="130" spans="1:19" x14ac:dyDescent="0.3">
      <c r="A130">
        <v>1982</v>
      </c>
      <c r="B130">
        <v>1</v>
      </c>
      <c r="C130" s="1">
        <f>DATE(Table_dat150_[[#This Row],[Year]],(Table_dat150_[[#This Row],[Quarter]]-1)*3+2,15)</f>
        <v>29997</v>
      </c>
      <c r="D130">
        <f>Table_dat150_[[#This Row],[Year]]+1/8+(Table_dat150_[[#This Row],[Quarter]]-1)/4</f>
        <v>1982.125</v>
      </c>
      <c r="E130">
        <f>Table_dat150_[[#This Row],[DecDate]]^2</f>
        <v>3928819.515625</v>
      </c>
      <c r="F130">
        <v>814</v>
      </c>
      <c r="G130" s="8">
        <f>LN(Table_dat150_[[#This Row],[Expenditure]])</f>
        <v>6.70196036600254</v>
      </c>
      <c r="H130" s="9">
        <f t="shared" si="2"/>
        <v>-3.6719706242350062E-3</v>
      </c>
      <c r="I130" s="9">
        <f>(1+Table_dat150_[[#This Row],[gt]])^4 -1</f>
        <v>-1.4607180147675924E-2</v>
      </c>
      <c r="J130" s="9">
        <f>$V$18+$V$19*Table_dat150_[[#This Row],[DecDate]]</f>
        <v>850.96519945411637</v>
      </c>
      <c r="K130" s="9">
        <f>$V$37+$V$38*Table_dat150_[[#This Row],[DecDate]]+$V$39*Table_dat150_[[#This Row],[DecDate2]]</f>
        <v>842.29394789389335</v>
      </c>
      <c r="L130" s="9">
        <f>$AF$18+$AF$19*Table_dat150_[[#This Row],[DecDate]]</f>
        <v>6.7382636575270114</v>
      </c>
      <c r="M130" s="9">
        <f>$AF$37+$AF$38*Table_dat150_[[#This Row],[DecDate]]+$AF$39*Table_dat150_[[#This Row],[DecDate2]]</f>
        <v>6.7357220823964461</v>
      </c>
      <c r="N130" s="9">
        <f>Table_dat150_[[#This Row],[LogExpenditure]]-Table_dat150_[[#This Row],[Log Quadratic Trend]]</f>
        <v>-3.3761716393906127E-2</v>
      </c>
      <c r="O130" s="9">
        <f t="shared" si="3"/>
        <v>-6.8306976028694065E-3</v>
      </c>
      <c r="P130" s="9">
        <f>Table_dat150_[[#This Row],[Log Quadratic Trend]]+Table_dat150_[[#This Row],[Cycle]]</f>
        <v>6.7288913847935765</v>
      </c>
      <c r="Q130" s="9">
        <f>Table_dat150_[[#This Row],[LogExpenditure]]-Table_dat150_[[#This Row],[Log Quadratic Trend]]-Table_dat150_[[#This Row],[Cycle]]</f>
        <v>-2.693101879103672E-2</v>
      </c>
      <c r="R130" s="9">
        <f>AVERAGEIF(Table_dat150_[Quarter], B130, Table_dat150_[High Frequency])</f>
        <v>-4.2281954239907563E-2</v>
      </c>
      <c r="S130" s="9">
        <f>Table_dat150_[[#This Row],[S0]]-AVERAGE($R$6:$R$9)</f>
        <v>-4.2188413571464481E-2</v>
      </c>
    </row>
    <row r="131" spans="1:19" x14ac:dyDescent="0.3">
      <c r="A131">
        <v>1982</v>
      </c>
      <c r="B131">
        <v>2</v>
      </c>
      <c r="C131" s="1">
        <f>DATE(Table_dat150_[[#This Row],[Year]],(Table_dat150_[[#This Row],[Quarter]]-1)*3+2,15)</f>
        <v>30086</v>
      </c>
      <c r="D131">
        <f>Table_dat150_[[#This Row],[Year]]+1/8+(Table_dat150_[[#This Row],[Quarter]]-1)/4</f>
        <v>1982.375</v>
      </c>
      <c r="E131">
        <f>Table_dat150_[[#This Row],[DecDate]]^2</f>
        <v>3929810.640625</v>
      </c>
      <c r="F131">
        <v>849</v>
      </c>
      <c r="G131" s="8">
        <f>LN(Table_dat150_[[#This Row],[Expenditure]])</f>
        <v>6.7440591863113477</v>
      </c>
      <c r="H131" s="9">
        <f t="shared" ref="H131:H194" si="4">(F131-F130)/F130</f>
        <v>4.2997542997542999E-2</v>
      </c>
      <c r="I131" s="9">
        <f>(1+Table_dat150_[[#This Row],[gt]])^4 -1</f>
        <v>0.18340429571994177</v>
      </c>
      <c r="J131" s="9">
        <f>$V$18+$V$19*Table_dat150_[[#This Row],[DecDate]]</f>
        <v>852.27085499794339</v>
      </c>
      <c r="K131" s="9">
        <f>$V$37+$V$38*Table_dat150_[[#This Row],[DecDate]]+$V$39*Table_dat150_[[#This Row],[DecDate2]]</f>
        <v>843.56512530030159</v>
      </c>
      <c r="L131" s="9">
        <f>$AF$18+$AF$19*Table_dat150_[[#This Row],[DecDate]]</f>
        <v>6.7397696862777865</v>
      </c>
      <c r="M131" s="9">
        <f>$AF$37+$AF$38*Table_dat150_[[#This Row],[DecDate]]+$AF$39*Table_dat150_[[#This Row],[DecDate2]]</f>
        <v>6.7372180054807025</v>
      </c>
      <c r="N131" s="9">
        <f>Table_dat150_[[#This Row],[LogExpenditure]]-Table_dat150_[[#This Row],[Log Quadratic Trend]]</f>
        <v>6.8411808306452215E-3</v>
      </c>
      <c r="O131" s="9">
        <f t="shared" si="3"/>
        <v>-1.5470237207537351E-2</v>
      </c>
      <c r="P131" s="9">
        <f>Table_dat150_[[#This Row],[Log Quadratic Trend]]+Table_dat150_[[#This Row],[Cycle]]</f>
        <v>6.7217477682731648</v>
      </c>
      <c r="Q131" s="9">
        <f>Table_dat150_[[#This Row],[LogExpenditure]]-Table_dat150_[[#This Row],[Log Quadratic Trend]]-Table_dat150_[[#This Row],[Cycle]]</f>
        <v>2.2311418038182575E-2</v>
      </c>
      <c r="R131" s="9">
        <f>AVERAGEIF(Table_dat150_[Quarter], B131, Table_dat150_[High Frequency])</f>
        <v>3.2923068860816217E-2</v>
      </c>
      <c r="S131" s="9">
        <f>Table_dat150_[[#This Row],[S0]]-AVERAGE($R$6:$R$9)</f>
        <v>3.3016609529259298E-2</v>
      </c>
    </row>
    <row r="132" spans="1:19" x14ac:dyDescent="0.3">
      <c r="A132">
        <v>1982</v>
      </c>
      <c r="B132">
        <v>3</v>
      </c>
      <c r="C132" s="1">
        <f>DATE(Table_dat150_[[#This Row],[Year]],(Table_dat150_[[#This Row],[Quarter]]-1)*3+2,15)</f>
        <v>30178</v>
      </c>
      <c r="D132">
        <f>Table_dat150_[[#This Row],[Year]]+1/8+(Table_dat150_[[#This Row],[Quarter]]-1)/4</f>
        <v>1982.625</v>
      </c>
      <c r="E132">
        <f>Table_dat150_[[#This Row],[DecDate]]^2</f>
        <v>3930801.890625</v>
      </c>
      <c r="F132">
        <v>847</v>
      </c>
      <c r="G132" s="8">
        <f>LN(Table_dat150_[[#This Row],[Expenditure]])</f>
        <v>6.7417006946520548</v>
      </c>
      <c r="H132" s="9">
        <f t="shared" si="4"/>
        <v>-2.3557126030624262E-3</v>
      </c>
      <c r="I132" s="9">
        <f>(1+Table_dat150_[[#This Row],[gt]])^4 -1</f>
        <v>-9.3896063812399788E-3</v>
      </c>
      <c r="J132" s="9">
        <f>$V$18+$V$19*Table_dat150_[[#This Row],[DecDate]]</f>
        <v>853.57651054176858</v>
      </c>
      <c r="K132" s="9">
        <f>$V$37+$V$38*Table_dat150_[[#This Row],[DecDate]]+$V$39*Table_dat150_[[#This Row],[DecDate2]]</f>
        <v>844.8389548711275</v>
      </c>
      <c r="L132" s="9">
        <f>$AF$18+$AF$19*Table_dat150_[[#This Row],[DecDate]]</f>
        <v>6.7412757150285616</v>
      </c>
      <c r="M132" s="9">
        <f>$AF$37+$AF$38*Table_dat150_[[#This Row],[DecDate]]+$AF$39*Table_dat150_[[#This Row],[DecDate2]]</f>
        <v>6.7387147059239147</v>
      </c>
      <c r="N132" s="9">
        <f>Table_dat150_[[#This Row],[LogExpenditure]]-Table_dat150_[[#This Row],[Log Quadratic Trend]]</f>
        <v>2.9859887281400432E-3</v>
      </c>
      <c r="O132" s="9">
        <f t="shared" si="3"/>
        <v>-1.9678008121428902E-2</v>
      </c>
      <c r="P132" s="9">
        <f>Table_dat150_[[#This Row],[Log Quadratic Trend]]+Table_dat150_[[#This Row],[Cycle]]</f>
        <v>6.719036697802486</v>
      </c>
      <c r="Q132" s="9">
        <f>Table_dat150_[[#This Row],[LogExpenditure]]-Table_dat150_[[#This Row],[Log Quadratic Trend]]-Table_dat150_[[#This Row],[Cycle]]</f>
        <v>2.2663996849568945E-2</v>
      </c>
      <c r="R132" s="9">
        <f>AVERAGEIF(Table_dat150_[Quarter], B132, Table_dat150_[High Frequency])</f>
        <v>3.7456808917954526E-2</v>
      </c>
      <c r="S132" s="9">
        <f>Table_dat150_[[#This Row],[S0]]-AVERAGE($R$6:$R$9)</f>
        <v>3.7550349586397608E-2</v>
      </c>
    </row>
    <row r="133" spans="1:19" x14ac:dyDescent="0.3">
      <c r="A133">
        <v>1982</v>
      </c>
      <c r="B133">
        <v>4</v>
      </c>
      <c r="C133" s="1">
        <f>DATE(Table_dat150_[[#This Row],[Year]],(Table_dat150_[[#This Row],[Quarter]]-1)*3+2,15)</f>
        <v>30270</v>
      </c>
      <c r="D133">
        <f>Table_dat150_[[#This Row],[Year]]+1/8+(Table_dat150_[[#This Row],[Quarter]]-1)/4</f>
        <v>1982.875</v>
      </c>
      <c r="E133">
        <f>Table_dat150_[[#This Row],[DecDate]]^2</f>
        <v>3931793.265625</v>
      </c>
      <c r="F133">
        <v>825</v>
      </c>
      <c r="G133" s="8">
        <f>LN(Table_dat150_[[#This Row],[Expenditure]])</f>
        <v>6.7153833863346808</v>
      </c>
      <c r="H133" s="9">
        <f t="shared" si="4"/>
        <v>-2.5974025974025976E-2</v>
      </c>
      <c r="I133" s="9">
        <f>(1+Table_dat150_[[#This Row],[gt]])^4 -1</f>
        <v>-9.9917842100772924E-2</v>
      </c>
      <c r="J133" s="9">
        <f>$V$18+$V$19*Table_dat150_[[#This Row],[DecDate]]</f>
        <v>854.8821660855956</v>
      </c>
      <c r="K133" s="9">
        <f>$V$37+$V$38*Table_dat150_[[#This Row],[DecDate]]+$V$39*Table_dat150_[[#This Row],[DecDate2]]</f>
        <v>846.11543660638563</v>
      </c>
      <c r="L133" s="9">
        <f>$AF$18+$AF$19*Table_dat150_[[#This Row],[DecDate]]</f>
        <v>6.7427817437793367</v>
      </c>
      <c r="M133" s="9">
        <f>$AF$37+$AF$38*Table_dat150_[[#This Row],[DecDate]]+$AF$39*Table_dat150_[[#This Row],[DecDate2]]</f>
        <v>6.7402121837260935</v>
      </c>
      <c r="N133" s="9">
        <f>Table_dat150_[[#This Row],[LogExpenditure]]-Table_dat150_[[#This Row],[Log Quadratic Trend]]</f>
        <v>-2.4828797391412749E-2</v>
      </c>
      <c r="O133" s="9">
        <f t="shared" ref="O133:O196" si="5">AVERAGE(N131:N135)</f>
        <v>-1.3937060204924911E-2</v>
      </c>
      <c r="P133" s="9">
        <f>Table_dat150_[[#This Row],[Log Quadratic Trend]]+Table_dat150_[[#This Row],[Cycle]]</f>
        <v>6.7262751235211686</v>
      </c>
      <c r="Q133" s="9">
        <f>Table_dat150_[[#This Row],[LogExpenditure]]-Table_dat150_[[#This Row],[Log Quadratic Trend]]-Table_dat150_[[#This Row],[Cycle]]</f>
        <v>-1.0891737186487838E-2</v>
      </c>
      <c r="R133" s="9">
        <f>AVERAGEIF(Table_dat150_[Quarter], B133, Table_dat150_[High Frequency])</f>
        <v>-2.8472086212635514E-2</v>
      </c>
      <c r="S133" s="9">
        <f>Table_dat150_[[#This Row],[S0]]-AVERAGE($R$6:$R$9)</f>
        <v>-2.8378545544192432E-2</v>
      </c>
    </row>
    <row r="134" spans="1:19" x14ac:dyDescent="0.3">
      <c r="A134">
        <v>1983</v>
      </c>
      <c r="B134">
        <v>1</v>
      </c>
      <c r="C134" s="1">
        <f>DATE(Table_dat150_[[#This Row],[Year]],(Table_dat150_[[#This Row],[Quarter]]-1)*3+2,15)</f>
        <v>30362</v>
      </c>
      <c r="D134">
        <f>Table_dat150_[[#This Row],[Year]]+1/8+(Table_dat150_[[#This Row],[Quarter]]-1)/4</f>
        <v>1983.125</v>
      </c>
      <c r="E134">
        <f>Table_dat150_[[#This Row],[DecDate]]^2</f>
        <v>3932784.765625</v>
      </c>
      <c r="F134">
        <v>806</v>
      </c>
      <c r="G134" s="8">
        <f>LN(Table_dat150_[[#This Row],[Expenditure]])</f>
        <v>6.692083742506628</v>
      </c>
      <c r="H134" s="9">
        <f t="shared" si="4"/>
        <v>-2.3030303030303029E-2</v>
      </c>
      <c r="I134" s="9">
        <f>(1+Table_dat150_[[#This Row],[gt]])^4 -1</f>
        <v>-8.898742227369294E-2</v>
      </c>
      <c r="J134" s="9">
        <f>$V$18+$V$19*Table_dat150_[[#This Row],[DecDate]]</f>
        <v>856.18782162942261</v>
      </c>
      <c r="K134" s="9">
        <f>$V$37+$V$38*Table_dat150_[[#This Row],[DecDate]]+$V$39*Table_dat150_[[#This Row],[DecDate2]]</f>
        <v>847.39457050604688</v>
      </c>
      <c r="L134" s="9">
        <f>$AF$18+$AF$19*Table_dat150_[[#This Row],[DecDate]]</f>
        <v>6.7442877725301118</v>
      </c>
      <c r="M134" s="9">
        <f>$AF$37+$AF$38*Table_dat150_[[#This Row],[DecDate]]+$AF$39*Table_dat150_[[#This Row],[DecDate2]]</f>
        <v>6.7417104388872389</v>
      </c>
      <c r="N134" s="9">
        <f>Table_dat150_[[#This Row],[LogExpenditure]]-Table_dat150_[[#This Row],[Log Quadratic Trend]]</f>
        <v>-4.9626696380610902E-2</v>
      </c>
      <c r="O134" s="9">
        <f t="shared" si="5"/>
        <v>-1.100880969626541E-2</v>
      </c>
      <c r="P134" s="9">
        <f>Table_dat150_[[#This Row],[Log Quadratic Trend]]+Table_dat150_[[#This Row],[Cycle]]</f>
        <v>6.7307016291909738</v>
      </c>
      <c r="Q134" s="9">
        <f>Table_dat150_[[#This Row],[LogExpenditure]]-Table_dat150_[[#This Row],[Log Quadratic Trend]]-Table_dat150_[[#This Row],[Cycle]]</f>
        <v>-3.8617886684345494E-2</v>
      </c>
      <c r="R134" s="9">
        <f>AVERAGEIF(Table_dat150_[Quarter], B134, Table_dat150_[High Frequency])</f>
        <v>-4.2281954239907563E-2</v>
      </c>
      <c r="S134" s="9">
        <f>Table_dat150_[[#This Row],[S0]]-AVERAGE($R$6:$R$9)</f>
        <v>-4.2188413571464481E-2</v>
      </c>
    </row>
    <row r="135" spans="1:19" x14ac:dyDescent="0.3">
      <c r="A135">
        <v>1983</v>
      </c>
      <c r="B135">
        <v>2</v>
      </c>
      <c r="C135" s="1">
        <f>DATE(Table_dat150_[[#This Row],[Year]],(Table_dat150_[[#This Row],[Quarter]]-1)*3+2,15)</f>
        <v>30451</v>
      </c>
      <c r="D135">
        <f>Table_dat150_[[#This Row],[Year]]+1/8+(Table_dat150_[[#This Row],[Quarter]]-1)/4</f>
        <v>1983.375</v>
      </c>
      <c r="E135">
        <f>Table_dat150_[[#This Row],[DecDate]]^2</f>
        <v>3933776.390625</v>
      </c>
      <c r="F135">
        <v>844</v>
      </c>
      <c r="G135" s="8">
        <f>LN(Table_dat150_[[#This Row],[Expenditure]])</f>
        <v>6.7381524945959574</v>
      </c>
      <c r="H135" s="9">
        <f t="shared" si="4"/>
        <v>4.7146401985111663E-2</v>
      </c>
      <c r="I135" s="9">
        <f>(1+Table_dat150_[[#This Row],[gt]])^4 -1</f>
        <v>0.20234643295143084</v>
      </c>
      <c r="J135" s="9">
        <f>$V$18+$V$19*Table_dat150_[[#This Row],[DecDate]]</f>
        <v>857.49347717324781</v>
      </c>
      <c r="K135" s="9">
        <f>$V$37+$V$38*Table_dat150_[[#This Row],[DecDate]]+$V$39*Table_dat150_[[#This Row],[DecDate2]]</f>
        <v>848.67635657012579</v>
      </c>
      <c r="L135" s="9">
        <f>$AF$18+$AF$19*Table_dat150_[[#This Row],[DecDate]]</f>
        <v>6.7457938012808869</v>
      </c>
      <c r="M135" s="9">
        <f>$AF$37+$AF$38*Table_dat150_[[#This Row],[DecDate]]+$AF$39*Table_dat150_[[#This Row],[DecDate2]]</f>
        <v>6.7432094714073436</v>
      </c>
      <c r="N135" s="9">
        <f>Table_dat150_[[#This Row],[LogExpenditure]]-Table_dat150_[[#This Row],[Log Quadratic Trend]]</f>
        <v>-5.0569768113861713E-3</v>
      </c>
      <c r="O135" s="9">
        <f t="shared" si="5"/>
        <v>-1.5361636176611525E-2</v>
      </c>
      <c r="P135" s="9">
        <f>Table_dat150_[[#This Row],[Log Quadratic Trend]]+Table_dat150_[[#This Row],[Cycle]]</f>
        <v>6.7278478352307323</v>
      </c>
      <c r="Q135" s="9">
        <f>Table_dat150_[[#This Row],[LogExpenditure]]-Table_dat150_[[#This Row],[Log Quadratic Trend]]-Table_dat150_[[#This Row],[Cycle]]</f>
        <v>1.0304659365225354E-2</v>
      </c>
      <c r="R135" s="9">
        <f>AVERAGEIF(Table_dat150_[Quarter], B135, Table_dat150_[High Frequency])</f>
        <v>3.2923068860816217E-2</v>
      </c>
      <c r="S135" s="9">
        <f>Table_dat150_[[#This Row],[S0]]-AVERAGE($R$6:$R$9)</f>
        <v>3.3016609529259298E-2</v>
      </c>
    </row>
    <row r="136" spans="1:19" x14ac:dyDescent="0.3">
      <c r="A136">
        <v>1983</v>
      </c>
      <c r="B136">
        <v>3</v>
      </c>
      <c r="C136" s="1">
        <f>DATE(Table_dat150_[[#This Row],[Year]],(Table_dat150_[[#This Row],[Quarter]]-1)*3+2,15)</f>
        <v>30543</v>
      </c>
      <c r="D136">
        <f>Table_dat150_[[#This Row],[Year]]+1/8+(Table_dat150_[[#This Row],[Quarter]]-1)/4</f>
        <v>1983.625</v>
      </c>
      <c r="E136">
        <f>Table_dat150_[[#This Row],[DecDate]]^2</f>
        <v>3934768.140625</v>
      </c>
      <c r="F136">
        <v>868</v>
      </c>
      <c r="G136" s="8">
        <f>LN(Table_dat150_[[#This Row],[Expenditure]])</f>
        <v>6.7661917146603505</v>
      </c>
      <c r="H136" s="9">
        <f t="shared" si="4"/>
        <v>2.843601895734597E-2</v>
      </c>
      <c r="I136" s="9">
        <f>(1+Table_dat150_[[#This Row],[gt]])^4 -1</f>
        <v>0.1186883469955331</v>
      </c>
      <c r="J136" s="9">
        <f>$V$18+$V$19*Table_dat150_[[#This Row],[DecDate]]</f>
        <v>858.79913271707483</v>
      </c>
      <c r="K136" s="9">
        <f>$V$37+$V$38*Table_dat150_[[#This Row],[DecDate]]+$V$39*Table_dat150_[[#This Row],[DecDate2]]</f>
        <v>849.96079479862237</v>
      </c>
      <c r="L136" s="9">
        <f>$AF$18+$AF$19*Table_dat150_[[#This Row],[DecDate]]</f>
        <v>6.7472998300316638</v>
      </c>
      <c r="M136" s="9">
        <f>$AF$37+$AF$38*Table_dat150_[[#This Row],[DecDate]]+$AF$39*Table_dat150_[[#This Row],[DecDate2]]</f>
        <v>6.7447092812864078</v>
      </c>
      <c r="N136" s="9">
        <f>Table_dat150_[[#This Row],[LogExpenditure]]-Table_dat150_[[#This Row],[Log Quadratic Trend]]</f>
        <v>2.1482433373942733E-2</v>
      </c>
      <c r="O136" s="9">
        <f t="shared" si="5"/>
        <v>-1.4931394889248217E-2</v>
      </c>
      <c r="P136" s="9">
        <f>Table_dat150_[[#This Row],[Log Quadratic Trend]]+Table_dat150_[[#This Row],[Cycle]]</f>
        <v>6.7297778863971596</v>
      </c>
      <c r="Q136" s="9">
        <f>Table_dat150_[[#This Row],[LogExpenditure]]-Table_dat150_[[#This Row],[Log Quadratic Trend]]-Table_dat150_[[#This Row],[Cycle]]</f>
        <v>3.641382826319095E-2</v>
      </c>
      <c r="R136" s="9">
        <f>AVERAGEIF(Table_dat150_[Quarter], B136, Table_dat150_[High Frequency])</f>
        <v>3.7456808917954526E-2</v>
      </c>
      <c r="S136" s="9">
        <f>Table_dat150_[[#This Row],[S0]]-AVERAGE($R$6:$R$9)</f>
        <v>3.7550349586397608E-2</v>
      </c>
    </row>
    <row r="137" spans="1:19" x14ac:dyDescent="0.3">
      <c r="A137">
        <v>1983</v>
      </c>
      <c r="B137">
        <v>4</v>
      </c>
      <c r="C137" s="1">
        <f>DATE(Table_dat150_[[#This Row],[Year]],(Table_dat150_[[#This Row],[Quarter]]-1)*3+2,15)</f>
        <v>30635</v>
      </c>
      <c r="D137">
        <f>Table_dat150_[[#This Row],[Year]]+1/8+(Table_dat150_[[#This Row],[Quarter]]-1)/4</f>
        <v>1983.875</v>
      </c>
      <c r="E137">
        <f>Table_dat150_[[#This Row],[DecDate]]^2</f>
        <v>3935760.015625</v>
      </c>
      <c r="F137">
        <v>835</v>
      </c>
      <c r="G137" s="8">
        <f>LN(Table_dat150_[[#This Row],[Expenditure]])</f>
        <v>6.7274317248508551</v>
      </c>
      <c r="H137" s="9">
        <f t="shared" si="4"/>
        <v>-3.8018433179723504E-2</v>
      </c>
      <c r="I137" s="9">
        <f>(1+Table_dat150_[[#This Row],[gt]])^4 -1</f>
        <v>-0.14361904353054489</v>
      </c>
      <c r="J137" s="9">
        <f>$V$18+$V$19*Table_dat150_[[#This Row],[DecDate]]</f>
        <v>860.10478826090184</v>
      </c>
      <c r="K137" s="9">
        <f>$V$37+$V$38*Table_dat150_[[#This Row],[DecDate]]+$V$39*Table_dat150_[[#This Row],[DecDate2]]</f>
        <v>851.24788519150752</v>
      </c>
      <c r="L137" s="9">
        <f>$AF$18+$AF$19*Table_dat150_[[#This Row],[DecDate]]</f>
        <v>6.7488058587824389</v>
      </c>
      <c r="M137" s="9">
        <f>$AF$37+$AF$38*Table_dat150_[[#This Row],[DecDate]]+$AF$39*Table_dat150_[[#This Row],[DecDate2]]</f>
        <v>6.7462098685244456</v>
      </c>
      <c r="N137" s="9">
        <f>Table_dat150_[[#This Row],[LogExpenditure]]-Table_dat150_[[#This Row],[Log Quadratic Trend]]</f>
        <v>-1.8778143673590542E-2</v>
      </c>
      <c r="O137" s="9">
        <f t="shared" si="5"/>
        <v>1.3627945586307533E-3</v>
      </c>
      <c r="P137" s="9">
        <f>Table_dat150_[[#This Row],[Log Quadratic Trend]]+Table_dat150_[[#This Row],[Cycle]]</f>
        <v>6.7475726630830763</v>
      </c>
      <c r="Q137" s="9">
        <f>Table_dat150_[[#This Row],[LogExpenditure]]-Table_dat150_[[#This Row],[Log Quadratic Trend]]-Table_dat150_[[#This Row],[Cycle]]</f>
        <v>-2.0140938232221295E-2</v>
      </c>
      <c r="R137" s="9">
        <f>AVERAGEIF(Table_dat150_[Quarter], B137, Table_dat150_[High Frequency])</f>
        <v>-2.8472086212635514E-2</v>
      </c>
      <c r="S137" s="9">
        <f>Table_dat150_[[#This Row],[S0]]-AVERAGE($R$6:$R$9)</f>
        <v>-2.8378545544192432E-2</v>
      </c>
    </row>
    <row r="138" spans="1:19" x14ac:dyDescent="0.3">
      <c r="A138">
        <v>1984</v>
      </c>
      <c r="B138">
        <v>1</v>
      </c>
      <c r="C138" s="1">
        <f>DATE(Table_dat150_[[#This Row],[Year]],(Table_dat150_[[#This Row],[Quarter]]-1)*3+2,15)</f>
        <v>30727</v>
      </c>
      <c r="D138">
        <f>Table_dat150_[[#This Row],[Year]]+1/8+(Table_dat150_[[#This Row],[Quarter]]-1)/4</f>
        <v>1984.125</v>
      </c>
      <c r="E138">
        <f>Table_dat150_[[#This Row],[DecDate]]^2</f>
        <v>3936752.015625</v>
      </c>
      <c r="F138">
        <v>833</v>
      </c>
      <c r="G138" s="8">
        <f>LN(Table_dat150_[[#This Row],[Expenditure]])</f>
        <v>6.7250336421668431</v>
      </c>
      <c r="H138" s="9">
        <f t="shared" si="4"/>
        <v>-2.3952095808383233E-3</v>
      </c>
      <c r="I138" s="9">
        <f>(1+Table_dat150_[[#This Row],[gt]])^4 -1</f>
        <v>-9.5464710823695009E-3</v>
      </c>
      <c r="J138" s="9">
        <f>$V$18+$V$19*Table_dat150_[[#This Row],[DecDate]]</f>
        <v>861.41044380472886</v>
      </c>
      <c r="K138" s="9">
        <f>$V$37+$V$38*Table_dat150_[[#This Row],[DecDate]]+$V$39*Table_dat150_[[#This Row],[DecDate2]]</f>
        <v>852.53762774883944</v>
      </c>
      <c r="L138" s="9">
        <f>$AF$18+$AF$19*Table_dat150_[[#This Row],[DecDate]]</f>
        <v>6.750311887533214</v>
      </c>
      <c r="M138" s="9">
        <f>$AF$37+$AF$38*Table_dat150_[[#This Row],[DecDate]]+$AF$39*Table_dat150_[[#This Row],[DecDate2]]</f>
        <v>6.7477112331214393</v>
      </c>
      <c r="N138" s="9">
        <f>Table_dat150_[[#This Row],[LogExpenditure]]-Table_dat150_[[#This Row],[Log Quadratic Trend]]</f>
        <v>-2.2677590954596205E-2</v>
      </c>
      <c r="O138" s="9">
        <f t="shared" si="5"/>
        <v>1.1148247217744611E-2</v>
      </c>
      <c r="P138" s="9">
        <f>Table_dat150_[[#This Row],[Log Quadratic Trend]]+Table_dat150_[[#This Row],[Cycle]]</f>
        <v>6.7588594803391837</v>
      </c>
      <c r="Q138" s="9">
        <f>Table_dat150_[[#This Row],[LogExpenditure]]-Table_dat150_[[#This Row],[Log Quadratic Trend]]-Table_dat150_[[#This Row],[Cycle]]</f>
        <v>-3.3825838172340819E-2</v>
      </c>
      <c r="R138" s="9">
        <f>AVERAGEIF(Table_dat150_[Quarter], B138, Table_dat150_[High Frequency])</f>
        <v>-4.2281954239907563E-2</v>
      </c>
      <c r="S138" s="9">
        <f>Table_dat150_[[#This Row],[S0]]-AVERAGE($R$6:$R$9)</f>
        <v>-4.2188413571464481E-2</v>
      </c>
    </row>
    <row r="139" spans="1:19" x14ac:dyDescent="0.3">
      <c r="A139">
        <v>1984</v>
      </c>
      <c r="B139">
        <v>2</v>
      </c>
      <c r="C139" s="1">
        <f>DATE(Table_dat150_[[#This Row],[Year]],(Table_dat150_[[#This Row],[Quarter]]-1)*3+2,15)</f>
        <v>30817</v>
      </c>
      <c r="D139">
        <f>Table_dat150_[[#This Row],[Year]]+1/8+(Table_dat150_[[#This Row],[Quarter]]-1)/4</f>
        <v>1984.375</v>
      </c>
      <c r="E139">
        <f>Table_dat150_[[#This Row],[DecDate]]^2</f>
        <v>3937744.140625</v>
      </c>
      <c r="F139">
        <v>881</v>
      </c>
      <c r="G139" s="8">
        <f>LN(Table_dat150_[[#This Row],[Expenditure]])</f>
        <v>6.7810576259361799</v>
      </c>
      <c r="H139" s="9">
        <f t="shared" si="4"/>
        <v>5.7623049219687875E-2</v>
      </c>
      <c r="I139" s="9">
        <f>(1+Table_dat150_[[#This Row],[gt]])^4 -1</f>
        <v>0.25119104678070281</v>
      </c>
      <c r="J139" s="9">
        <f>$V$18+$V$19*Table_dat150_[[#This Row],[DecDate]]</f>
        <v>862.71609934855405</v>
      </c>
      <c r="K139" s="9">
        <f>$V$37+$V$38*Table_dat150_[[#This Row],[DecDate]]+$V$39*Table_dat150_[[#This Row],[DecDate2]]</f>
        <v>853.83002247058903</v>
      </c>
      <c r="L139" s="9">
        <f>$AF$18+$AF$19*Table_dat150_[[#This Row],[DecDate]]</f>
        <v>6.7518179162839891</v>
      </c>
      <c r="M139" s="9">
        <f>$AF$37+$AF$38*Table_dat150_[[#This Row],[DecDate]]+$AF$39*Table_dat150_[[#This Row],[DecDate2]]</f>
        <v>6.7492133750773959</v>
      </c>
      <c r="N139" s="9">
        <f>Table_dat150_[[#This Row],[LogExpenditure]]-Table_dat150_[[#This Row],[Log Quadratic Trend]]</f>
        <v>3.1844250858783951E-2</v>
      </c>
      <c r="O139" s="9">
        <f t="shared" si="5"/>
        <v>5.4550322265875199E-3</v>
      </c>
      <c r="P139" s="9">
        <f>Table_dat150_[[#This Row],[Log Quadratic Trend]]+Table_dat150_[[#This Row],[Cycle]]</f>
        <v>6.7546684073039831</v>
      </c>
      <c r="Q139" s="9">
        <f>Table_dat150_[[#This Row],[LogExpenditure]]-Table_dat150_[[#This Row],[Log Quadratic Trend]]-Table_dat150_[[#This Row],[Cycle]]</f>
        <v>2.6389218632196433E-2</v>
      </c>
      <c r="R139" s="9">
        <f>AVERAGEIF(Table_dat150_[Quarter], B139, Table_dat150_[High Frequency])</f>
        <v>3.2923068860816217E-2</v>
      </c>
      <c r="S139" s="9">
        <f>Table_dat150_[[#This Row],[S0]]-AVERAGE($R$6:$R$9)</f>
        <v>3.3016609529259298E-2</v>
      </c>
    </row>
    <row r="140" spans="1:19" x14ac:dyDescent="0.3">
      <c r="A140">
        <v>1984</v>
      </c>
      <c r="B140">
        <v>3</v>
      </c>
      <c r="C140" s="1">
        <f>DATE(Table_dat150_[[#This Row],[Year]],(Table_dat150_[[#This Row],[Quarter]]-1)*3+2,15)</f>
        <v>30909</v>
      </c>
      <c r="D140">
        <f>Table_dat150_[[#This Row],[Year]]+1/8+(Table_dat150_[[#This Row],[Quarter]]-1)/4</f>
        <v>1984.625</v>
      </c>
      <c r="E140">
        <f>Table_dat150_[[#This Row],[DecDate]]^2</f>
        <v>3938736.390625</v>
      </c>
      <c r="F140">
        <v>893</v>
      </c>
      <c r="G140" s="8">
        <f>LN(Table_dat150_[[#This Row],[Expenditure]])</f>
        <v>6.7945865808764987</v>
      </c>
      <c r="H140" s="9">
        <f t="shared" si="4"/>
        <v>1.362088535754824E-2</v>
      </c>
      <c r="I140" s="9">
        <f>(1+Table_dat150_[[#This Row],[gt]])^4 -1</f>
        <v>5.5606855209257233E-2</v>
      </c>
      <c r="J140" s="9">
        <f>$V$18+$V$19*Table_dat150_[[#This Row],[DecDate]]</f>
        <v>864.02175489238107</v>
      </c>
      <c r="K140" s="9">
        <f>$V$37+$V$38*Table_dat150_[[#This Row],[DecDate]]+$V$39*Table_dat150_[[#This Row],[DecDate2]]</f>
        <v>855.12506935675628</v>
      </c>
      <c r="L140" s="9">
        <f>$AF$18+$AF$19*Table_dat150_[[#This Row],[DecDate]]</f>
        <v>6.7533239450347642</v>
      </c>
      <c r="M140" s="9">
        <f>$AF$37+$AF$38*Table_dat150_[[#This Row],[DecDate]]+$AF$39*Table_dat150_[[#This Row],[DecDate2]]</f>
        <v>6.7507162943923156</v>
      </c>
      <c r="N140" s="9">
        <f>Table_dat150_[[#This Row],[LogExpenditure]]-Table_dat150_[[#This Row],[Log Quadratic Trend]]</f>
        <v>4.3870286484183119E-2</v>
      </c>
      <c r="O140" s="9">
        <f t="shared" si="5"/>
        <v>4.9079092349359147E-3</v>
      </c>
      <c r="P140" s="9">
        <f>Table_dat150_[[#This Row],[Log Quadratic Trend]]+Table_dat150_[[#This Row],[Cycle]]</f>
        <v>6.7556242036272511</v>
      </c>
      <c r="Q140" s="9">
        <f>Table_dat150_[[#This Row],[LogExpenditure]]-Table_dat150_[[#This Row],[Log Quadratic Trend]]-Table_dat150_[[#This Row],[Cycle]]</f>
        <v>3.8962377249247206E-2</v>
      </c>
      <c r="R140" s="9">
        <f>AVERAGEIF(Table_dat150_[Quarter], B140, Table_dat150_[High Frequency])</f>
        <v>3.7456808917954526E-2</v>
      </c>
      <c r="S140" s="9">
        <f>Table_dat150_[[#This Row],[S0]]-AVERAGE($R$6:$R$9)</f>
        <v>3.7550349586397608E-2</v>
      </c>
    </row>
    <row r="141" spans="1:19" x14ac:dyDescent="0.3">
      <c r="A141">
        <v>1984</v>
      </c>
      <c r="B141">
        <v>4</v>
      </c>
      <c r="C141" s="1">
        <f>DATE(Table_dat150_[[#This Row],[Year]],(Table_dat150_[[#This Row],[Quarter]]-1)*3+2,15)</f>
        <v>31001</v>
      </c>
      <c r="D141">
        <f>Table_dat150_[[#This Row],[Year]]+1/8+(Table_dat150_[[#This Row],[Quarter]]-1)/4</f>
        <v>1984.875</v>
      </c>
      <c r="E141">
        <f>Table_dat150_[[#This Row],[DecDate]]^2</f>
        <v>3939728.765625</v>
      </c>
      <c r="F141">
        <v>850</v>
      </c>
      <c r="G141" s="8">
        <f>LN(Table_dat150_[[#This Row],[Expenditure]])</f>
        <v>6.7452363494843626</v>
      </c>
      <c r="H141" s="9">
        <f t="shared" si="4"/>
        <v>-4.8152295632698766E-2</v>
      </c>
      <c r="I141" s="9">
        <f>(1+Table_dat150_[[#This Row],[gt]])^4 -1</f>
        <v>-0.17913853701807858</v>
      </c>
      <c r="J141" s="9">
        <f>$V$18+$V$19*Table_dat150_[[#This Row],[DecDate]]</f>
        <v>865.32741043620808</v>
      </c>
      <c r="K141" s="9">
        <f>$V$37+$V$38*Table_dat150_[[#This Row],[DecDate]]+$V$39*Table_dat150_[[#This Row],[DecDate2]]</f>
        <v>856.42276840734121</v>
      </c>
      <c r="L141" s="9">
        <f>$AF$18+$AF$19*Table_dat150_[[#This Row],[DecDate]]</f>
        <v>6.7548299737855393</v>
      </c>
      <c r="M141" s="9">
        <f>$AF$37+$AF$38*Table_dat150_[[#This Row],[DecDate]]+$AF$39*Table_dat150_[[#This Row],[DecDate2]]</f>
        <v>6.7522199910662053</v>
      </c>
      <c r="N141" s="9">
        <f>Table_dat150_[[#This Row],[LogExpenditure]]-Table_dat150_[[#This Row],[Log Quadratic Trend]]</f>
        <v>-6.9836415818427255E-3</v>
      </c>
      <c r="O141" s="9">
        <f t="shared" si="5"/>
        <v>1.5515013129268418E-2</v>
      </c>
      <c r="P141" s="9">
        <f>Table_dat150_[[#This Row],[Log Quadratic Trend]]+Table_dat150_[[#This Row],[Cycle]]</f>
        <v>6.7677350041954734</v>
      </c>
      <c r="Q141" s="9">
        <f>Table_dat150_[[#This Row],[LogExpenditure]]-Table_dat150_[[#This Row],[Log Quadratic Trend]]-Table_dat150_[[#This Row],[Cycle]]</f>
        <v>-2.2498654711111142E-2</v>
      </c>
      <c r="R141" s="9">
        <f>AVERAGEIF(Table_dat150_[Quarter], B141, Table_dat150_[High Frequency])</f>
        <v>-2.8472086212635514E-2</v>
      </c>
      <c r="S141" s="9">
        <f>Table_dat150_[[#This Row],[S0]]-AVERAGE($R$6:$R$9)</f>
        <v>-2.8378545544192432E-2</v>
      </c>
    </row>
    <row r="142" spans="1:19" x14ac:dyDescent="0.3">
      <c r="A142">
        <v>1985</v>
      </c>
      <c r="B142">
        <v>1</v>
      </c>
      <c r="C142" s="1">
        <f>DATE(Table_dat150_[[#This Row],[Year]],(Table_dat150_[[#This Row],[Quarter]]-1)*3+2,15)</f>
        <v>31093</v>
      </c>
      <c r="D142">
        <f>Table_dat150_[[#This Row],[Year]]+1/8+(Table_dat150_[[#This Row],[Quarter]]-1)/4</f>
        <v>1985.125</v>
      </c>
      <c r="E142">
        <f>Table_dat150_[[#This Row],[DecDate]]^2</f>
        <v>3940721.265625</v>
      </c>
      <c r="F142">
        <v>839</v>
      </c>
      <c r="G142" s="8">
        <f>LN(Table_dat150_[[#This Row],[Expenditure]])</f>
        <v>6.7322107064672059</v>
      </c>
      <c r="H142" s="9">
        <f t="shared" si="4"/>
        <v>-1.2941176470588235E-2</v>
      </c>
      <c r="I142" s="9">
        <f>(1+Table_dat150_[[#This Row],[gt]])^4 -1</f>
        <v>-5.0768502788999248E-2</v>
      </c>
      <c r="J142" s="9">
        <f>$V$18+$V$19*Table_dat150_[[#This Row],[DecDate]]</f>
        <v>866.63306598003328</v>
      </c>
      <c r="K142" s="9">
        <f>$V$37+$V$38*Table_dat150_[[#This Row],[DecDate]]+$V$39*Table_dat150_[[#This Row],[DecDate2]]</f>
        <v>857.72311962232925</v>
      </c>
      <c r="L142" s="9">
        <f>$AF$18+$AF$19*Table_dat150_[[#This Row],[DecDate]]</f>
        <v>6.7563360025363162</v>
      </c>
      <c r="M142" s="9">
        <f>$AF$37+$AF$38*Table_dat150_[[#This Row],[DecDate]]+$AF$39*Table_dat150_[[#This Row],[DecDate2]]</f>
        <v>6.7537244650990544</v>
      </c>
      <c r="N142" s="9">
        <f>Table_dat150_[[#This Row],[LogExpenditure]]-Table_dat150_[[#This Row],[Log Quadratic Trend]]</f>
        <v>-2.1513758631848567E-2</v>
      </c>
      <c r="O142" s="9">
        <f t="shared" si="5"/>
        <v>1.4690426436711946E-2</v>
      </c>
      <c r="P142" s="9">
        <f>Table_dat150_[[#This Row],[Log Quadratic Trend]]+Table_dat150_[[#This Row],[Cycle]]</f>
        <v>6.768414891535766</v>
      </c>
      <c r="Q142" s="9">
        <f>Table_dat150_[[#This Row],[LogExpenditure]]-Table_dat150_[[#This Row],[Log Quadratic Trend]]-Table_dat150_[[#This Row],[Cycle]]</f>
        <v>-3.6204185068560511E-2</v>
      </c>
      <c r="R142" s="9">
        <f>AVERAGEIF(Table_dat150_[Quarter], B142, Table_dat150_[High Frequency])</f>
        <v>-4.2281954239907563E-2</v>
      </c>
      <c r="S142" s="9">
        <f>Table_dat150_[[#This Row],[S0]]-AVERAGE($R$6:$R$9)</f>
        <v>-4.2188413571464481E-2</v>
      </c>
    </row>
    <row r="143" spans="1:19" x14ac:dyDescent="0.3">
      <c r="A143">
        <v>1985</v>
      </c>
      <c r="B143">
        <v>2</v>
      </c>
      <c r="C143" s="1">
        <f>DATE(Table_dat150_[[#This Row],[Year]],(Table_dat150_[[#This Row],[Quarter]]-1)*3+2,15)</f>
        <v>31182</v>
      </c>
      <c r="D143">
        <f>Table_dat150_[[#This Row],[Year]]+1/8+(Table_dat150_[[#This Row],[Quarter]]-1)/4</f>
        <v>1985.375</v>
      </c>
      <c r="E143">
        <f>Table_dat150_[[#This Row],[DecDate]]^2</f>
        <v>3941713.890625</v>
      </c>
      <c r="F143">
        <v>885</v>
      </c>
      <c r="G143" s="8">
        <f>LN(Table_dat150_[[#This Row],[Expenditure]])</f>
        <v>6.7855876450079293</v>
      </c>
      <c r="H143" s="9">
        <f t="shared" si="4"/>
        <v>5.4827175208581644E-2</v>
      </c>
      <c r="I143" s="9">
        <f>(1+Table_dat150_[[#This Row],[gt]])^4 -1</f>
        <v>0.23801309798609283</v>
      </c>
      <c r="J143" s="9">
        <f>$V$18+$V$19*Table_dat150_[[#This Row],[DecDate]]</f>
        <v>867.93872152386029</v>
      </c>
      <c r="K143" s="9">
        <f>$V$37+$V$38*Table_dat150_[[#This Row],[DecDate]]+$V$39*Table_dat150_[[#This Row],[DecDate2]]</f>
        <v>859.02612300172041</v>
      </c>
      <c r="L143" s="9">
        <f>$AF$18+$AF$19*Table_dat150_[[#This Row],[DecDate]]</f>
        <v>6.7578420312870913</v>
      </c>
      <c r="M143" s="9">
        <f>$AF$37+$AF$38*Table_dat150_[[#This Row],[DecDate]]+$AF$39*Table_dat150_[[#This Row],[DecDate2]]</f>
        <v>6.755229716490863</v>
      </c>
      <c r="N143" s="9">
        <f>Table_dat150_[[#This Row],[LogExpenditure]]-Table_dat150_[[#This Row],[Log Quadratic Trend]]</f>
        <v>3.0357928517066313E-2</v>
      </c>
      <c r="O143" s="9">
        <f t="shared" si="5"/>
        <v>-6.8197294261816309E-3</v>
      </c>
      <c r="P143" s="9">
        <f>Table_dat150_[[#This Row],[Log Quadratic Trend]]+Table_dat150_[[#This Row],[Cycle]]</f>
        <v>6.7484099870646812</v>
      </c>
      <c r="Q143" s="9">
        <f>Table_dat150_[[#This Row],[LogExpenditure]]-Table_dat150_[[#This Row],[Log Quadratic Trend]]-Table_dat150_[[#This Row],[Cycle]]</f>
        <v>3.7177657943247941E-2</v>
      </c>
      <c r="R143" s="9">
        <f>AVERAGEIF(Table_dat150_[Quarter], B143, Table_dat150_[High Frequency])</f>
        <v>3.2923068860816217E-2</v>
      </c>
      <c r="S143" s="9">
        <f>Table_dat150_[[#This Row],[S0]]-AVERAGE($R$6:$R$9)</f>
        <v>3.3016609529259298E-2</v>
      </c>
    </row>
    <row r="144" spans="1:19" x14ac:dyDescent="0.3">
      <c r="A144">
        <v>1985</v>
      </c>
      <c r="B144">
        <v>3</v>
      </c>
      <c r="C144" s="1">
        <f>DATE(Table_dat150_[[#This Row],[Year]],(Table_dat150_[[#This Row],[Quarter]]-1)*3+2,15)</f>
        <v>31274</v>
      </c>
      <c r="D144">
        <f>Table_dat150_[[#This Row],[Year]]+1/8+(Table_dat150_[[#This Row],[Quarter]]-1)/4</f>
        <v>1985.625</v>
      </c>
      <c r="E144">
        <f>Table_dat150_[[#This Row],[DecDate]]^2</f>
        <v>3942706.640625</v>
      </c>
      <c r="F144">
        <v>884</v>
      </c>
      <c r="G144" s="8">
        <f>LN(Table_dat150_[[#This Row],[Expenditure]])</f>
        <v>6.7844570626376433</v>
      </c>
      <c r="H144" s="9">
        <f t="shared" si="4"/>
        <v>-1.1299435028248588E-3</v>
      </c>
      <c r="I144" s="9">
        <f>(1+Table_dat150_[[#This Row],[gt]])^4 -1</f>
        <v>-4.5121191464740917E-3</v>
      </c>
      <c r="J144" s="9">
        <f>$V$18+$V$19*Table_dat150_[[#This Row],[DecDate]]</f>
        <v>869.24437706768731</v>
      </c>
      <c r="K144" s="9">
        <f>$V$37+$V$38*Table_dat150_[[#This Row],[DecDate]]+$V$39*Table_dat150_[[#This Row],[DecDate2]]</f>
        <v>860.33177854554378</v>
      </c>
      <c r="L144" s="9">
        <f>$AF$18+$AF$19*Table_dat150_[[#This Row],[DecDate]]</f>
        <v>6.7593480600378664</v>
      </c>
      <c r="M144" s="9">
        <f>$AF$37+$AF$38*Table_dat150_[[#This Row],[DecDate]]+$AF$39*Table_dat150_[[#This Row],[DecDate2]]</f>
        <v>6.7567357452416417</v>
      </c>
      <c r="N144" s="9">
        <f>Table_dat150_[[#This Row],[LogExpenditure]]-Table_dat150_[[#This Row],[Log Quadratic Trend]]</f>
        <v>2.7721317396001588E-2</v>
      </c>
      <c r="O144" s="9">
        <f t="shared" si="5"/>
        <v>-6.2192436769782592E-3</v>
      </c>
      <c r="P144" s="9">
        <f>Table_dat150_[[#This Row],[Log Quadratic Trend]]+Table_dat150_[[#This Row],[Cycle]]</f>
        <v>6.7505165015646638</v>
      </c>
      <c r="Q144" s="9">
        <f>Table_dat150_[[#This Row],[LogExpenditure]]-Table_dat150_[[#This Row],[Log Quadratic Trend]]-Table_dat150_[[#This Row],[Cycle]]</f>
        <v>3.3940561072979845E-2</v>
      </c>
      <c r="R144" s="9">
        <f>AVERAGEIF(Table_dat150_[Quarter], B144, Table_dat150_[High Frequency])</f>
        <v>3.7456808917954526E-2</v>
      </c>
      <c r="S144" s="9">
        <f>Table_dat150_[[#This Row],[S0]]-AVERAGE($R$6:$R$9)</f>
        <v>3.7550349586397608E-2</v>
      </c>
    </row>
    <row r="145" spans="1:19" x14ac:dyDescent="0.3">
      <c r="A145">
        <v>1985</v>
      </c>
      <c r="B145">
        <v>4</v>
      </c>
      <c r="C145" s="1">
        <f>DATE(Table_dat150_[[#This Row],[Year]],(Table_dat150_[[#This Row],[Quarter]]-1)*3+2,15)</f>
        <v>31366</v>
      </c>
      <c r="D145">
        <f>Table_dat150_[[#This Row],[Year]]+1/8+(Table_dat150_[[#This Row],[Quarter]]-1)/4</f>
        <v>1985.875</v>
      </c>
      <c r="E145">
        <f>Table_dat150_[[#This Row],[DecDate]]^2</f>
        <v>3943699.515625</v>
      </c>
      <c r="F145">
        <v>808</v>
      </c>
      <c r="G145" s="8">
        <f>LN(Table_dat150_[[#This Row],[Expenditure]])</f>
        <v>6.694562058521095</v>
      </c>
      <c r="H145" s="9">
        <f t="shared" si="4"/>
        <v>-8.5972850678733032E-2</v>
      </c>
      <c r="I145" s="9">
        <f>(1+Table_dat150_[[#This Row],[gt]])^4 -1</f>
        <v>-0.3020305998212498</v>
      </c>
      <c r="J145" s="9">
        <f>$V$18+$V$19*Table_dat150_[[#This Row],[DecDate]]</f>
        <v>870.55003261151251</v>
      </c>
      <c r="K145" s="9">
        <f>$V$37+$V$38*Table_dat150_[[#This Row],[DecDate]]+$V$39*Table_dat150_[[#This Row],[DecDate2]]</f>
        <v>861.64008625379938</v>
      </c>
      <c r="L145" s="9">
        <f>$AF$18+$AF$19*Table_dat150_[[#This Row],[DecDate]]</f>
        <v>6.7608540887886415</v>
      </c>
      <c r="M145" s="9">
        <f>$AF$37+$AF$38*Table_dat150_[[#This Row],[DecDate]]+$AF$39*Table_dat150_[[#This Row],[DecDate2]]</f>
        <v>6.7582425513513797</v>
      </c>
      <c r="N145" s="9">
        <f>Table_dat150_[[#This Row],[LogExpenditure]]-Table_dat150_[[#This Row],[Log Quadratic Trend]]</f>
        <v>-6.3680492830284763E-2</v>
      </c>
      <c r="O145" s="9">
        <f t="shared" si="5"/>
        <v>9.1789850388353852E-3</v>
      </c>
      <c r="P145" s="9">
        <f>Table_dat150_[[#This Row],[Log Quadratic Trend]]+Table_dat150_[[#This Row],[Cycle]]</f>
        <v>6.7674215363902155</v>
      </c>
      <c r="Q145" s="9">
        <f>Table_dat150_[[#This Row],[LogExpenditure]]-Table_dat150_[[#This Row],[Log Quadratic Trend]]-Table_dat150_[[#This Row],[Cycle]]</f>
        <v>-7.2859477869120143E-2</v>
      </c>
      <c r="R145" s="9">
        <f>AVERAGEIF(Table_dat150_[Quarter], B145, Table_dat150_[High Frequency])</f>
        <v>-2.8472086212635514E-2</v>
      </c>
      <c r="S145" s="9">
        <f>Table_dat150_[[#This Row],[S0]]-AVERAGE($R$6:$R$9)</f>
        <v>-2.8378545544192432E-2</v>
      </c>
    </row>
    <row r="146" spans="1:19" x14ac:dyDescent="0.3">
      <c r="A146">
        <v>1986</v>
      </c>
      <c r="B146">
        <v>1</v>
      </c>
      <c r="C146" s="1">
        <f>DATE(Table_dat150_[[#This Row],[Year]],(Table_dat150_[[#This Row],[Quarter]]-1)*3+2,15)</f>
        <v>31458</v>
      </c>
      <c r="D146">
        <f>Table_dat150_[[#This Row],[Year]]+1/8+(Table_dat150_[[#This Row],[Quarter]]-1)/4</f>
        <v>1986.125</v>
      </c>
      <c r="E146">
        <f>Table_dat150_[[#This Row],[DecDate]]^2</f>
        <v>3944692.515625</v>
      </c>
      <c r="F146">
        <v>859</v>
      </c>
      <c r="G146" s="8">
        <f>LN(Table_dat150_[[#This Row],[Expenditure]])</f>
        <v>6.7557689219842549</v>
      </c>
      <c r="H146" s="9">
        <f t="shared" si="4"/>
        <v>6.3118811881188119E-2</v>
      </c>
      <c r="I146" s="9">
        <f>(1+Table_dat150_[[#This Row],[gt]])^4 -1</f>
        <v>0.27740088358719506</v>
      </c>
      <c r="J146" s="9">
        <f>$V$18+$V$19*Table_dat150_[[#This Row],[DecDate]]</f>
        <v>871.85568815533952</v>
      </c>
      <c r="K146" s="9">
        <f>$V$37+$V$38*Table_dat150_[[#This Row],[DecDate]]+$V$39*Table_dat150_[[#This Row],[DecDate2]]</f>
        <v>862.9510461264581</v>
      </c>
      <c r="L146" s="9">
        <f>$AF$18+$AF$19*Table_dat150_[[#This Row],[DecDate]]</f>
        <v>6.7623601175394166</v>
      </c>
      <c r="M146" s="9">
        <f>$AF$37+$AF$38*Table_dat150_[[#This Row],[DecDate]]+$AF$39*Table_dat150_[[#This Row],[DecDate2]]</f>
        <v>6.7597501348200808</v>
      </c>
      <c r="N146" s="9">
        <f>Table_dat150_[[#This Row],[LogExpenditure]]-Table_dat150_[[#This Row],[Log Quadratic Trend]]</f>
        <v>-3.9812128358258647E-3</v>
      </c>
      <c r="O146" s="9">
        <f t="shared" si="5"/>
        <v>3.0997739549228241E-3</v>
      </c>
      <c r="P146" s="9">
        <f>Table_dat150_[[#This Row],[Log Quadratic Trend]]+Table_dat150_[[#This Row],[Cycle]]</f>
        <v>6.7628499087750038</v>
      </c>
      <c r="Q146" s="9">
        <f>Table_dat150_[[#This Row],[LogExpenditure]]-Table_dat150_[[#This Row],[Log Quadratic Trend]]-Table_dat150_[[#This Row],[Cycle]]</f>
        <v>-7.0809867907486888E-3</v>
      </c>
      <c r="R146" s="9">
        <f>AVERAGEIF(Table_dat150_[Quarter], B146, Table_dat150_[High Frequency])</f>
        <v>-4.2281954239907563E-2</v>
      </c>
      <c r="S146" s="9">
        <f>Table_dat150_[[#This Row],[S0]]-AVERAGE($R$6:$R$9)</f>
        <v>-4.2188413571464481E-2</v>
      </c>
    </row>
    <row r="147" spans="1:19" x14ac:dyDescent="0.3">
      <c r="A147">
        <v>1986</v>
      </c>
      <c r="B147">
        <v>2</v>
      </c>
      <c r="C147" s="1">
        <f>DATE(Table_dat150_[[#This Row],[Year]],(Table_dat150_[[#This Row],[Quarter]]-1)*3+2,15)</f>
        <v>31547</v>
      </c>
      <c r="D147">
        <f>Table_dat150_[[#This Row],[Year]]+1/8+(Table_dat150_[[#This Row],[Quarter]]-1)/4</f>
        <v>1986.375</v>
      </c>
      <c r="E147">
        <f>Table_dat150_[[#This Row],[DecDate]]^2</f>
        <v>3945685.640625</v>
      </c>
      <c r="F147">
        <v>913</v>
      </c>
      <c r="G147" s="8">
        <f>LN(Table_dat150_[[#This Row],[Expenditure]])</f>
        <v>6.816735880594968</v>
      </c>
      <c r="H147" s="9">
        <f t="shared" si="4"/>
        <v>6.2863795110593715E-2</v>
      </c>
      <c r="I147" s="9">
        <f>(1+Table_dat150_[[#This Row],[gt]])^4 -1</f>
        <v>0.27617565287683399</v>
      </c>
      <c r="J147" s="9">
        <f>$V$18+$V$19*Table_dat150_[[#This Row],[DecDate]]</f>
        <v>873.16134369916654</v>
      </c>
      <c r="K147" s="9">
        <f>$V$37+$V$38*Table_dat150_[[#This Row],[DecDate]]+$V$39*Table_dat150_[[#This Row],[DecDate2]]</f>
        <v>864.26465816353448</v>
      </c>
      <c r="L147" s="9">
        <f>$AF$18+$AF$19*Table_dat150_[[#This Row],[DecDate]]</f>
        <v>6.7638661462901917</v>
      </c>
      <c r="M147" s="9">
        <f>$AF$37+$AF$38*Table_dat150_[[#This Row],[DecDate]]+$AF$39*Table_dat150_[[#This Row],[DecDate2]]</f>
        <v>6.7612584956477484</v>
      </c>
      <c r="N147" s="9">
        <f>Table_dat150_[[#This Row],[LogExpenditure]]-Table_dat150_[[#This Row],[Log Quadratic Trend]]</f>
        <v>5.5477384947219655E-2</v>
      </c>
      <c r="O147" s="9">
        <f t="shared" si="5"/>
        <v>-9.5742767833302267E-3</v>
      </c>
      <c r="P147" s="9">
        <f>Table_dat150_[[#This Row],[Log Quadratic Trend]]+Table_dat150_[[#This Row],[Cycle]]</f>
        <v>6.7516842188644182</v>
      </c>
      <c r="Q147" s="9">
        <f>Table_dat150_[[#This Row],[LogExpenditure]]-Table_dat150_[[#This Row],[Log Quadratic Trend]]-Table_dat150_[[#This Row],[Cycle]]</f>
        <v>6.5051661730549881E-2</v>
      </c>
      <c r="R147" s="9">
        <f>AVERAGEIF(Table_dat150_[Quarter], B147, Table_dat150_[High Frequency])</f>
        <v>3.2923068860816217E-2</v>
      </c>
      <c r="S147" s="9">
        <f>Table_dat150_[[#This Row],[S0]]-AVERAGE($R$6:$R$9)</f>
        <v>3.3016609529259298E-2</v>
      </c>
    </row>
    <row r="148" spans="1:19" x14ac:dyDescent="0.3">
      <c r="A148">
        <v>1986</v>
      </c>
      <c r="B148">
        <v>3</v>
      </c>
      <c r="C148" s="1">
        <f>DATE(Table_dat150_[[#This Row],[Year]],(Table_dat150_[[#This Row],[Quarter]]-1)*3+2,15)</f>
        <v>31639</v>
      </c>
      <c r="D148">
        <f>Table_dat150_[[#This Row],[Year]]+1/8+(Table_dat150_[[#This Row],[Quarter]]-1)/4</f>
        <v>1986.625</v>
      </c>
      <c r="E148">
        <f>Table_dat150_[[#This Row],[DecDate]]^2</f>
        <v>3946678.890625</v>
      </c>
      <c r="F148">
        <v>865</v>
      </c>
      <c r="G148" s="8">
        <f>LN(Table_dat150_[[#This Row],[Expenditure]])</f>
        <v>6.7627295069318789</v>
      </c>
      <c r="H148" s="9">
        <f t="shared" si="4"/>
        <v>-5.257393209200438E-2</v>
      </c>
      <c r="I148" s="9">
        <f>(1+Table_dat150_[[#This Row],[gt]])^4 -1</f>
        <v>-0.19428523980608026</v>
      </c>
      <c r="J148" s="9">
        <f>$V$18+$V$19*Table_dat150_[[#This Row],[DecDate]]</f>
        <v>874.46699924299355</v>
      </c>
      <c r="K148" s="9">
        <f>$V$37+$V$38*Table_dat150_[[#This Row],[DecDate]]+$V$39*Table_dat150_[[#This Row],[DecDate2]]</f>
        <v>865.58092236504308</v>
      </c>
      <c r="L148" s="9">
        <f>$AF$18+$AF$19*Table_dat150_[[#This Row],[DecDate]]</f>
        <v>6.7653721750409685</v>
      </c>
      <c r="M148" s="9">
        <f>$AF$37+$AF$38*Table_dat150_[[#This Row],[DecDate]]+$AF$39*Table_dat150_[[#This Row],[DecDate2]]</f>
        <v>6.7627676338343754</v>
      </c>
      <c r="N148" s="9">
        <f>Table_dat150_[[#This Row],[LogExpenditure]]-Table_dat150_[[#This Row],[Log Quadratic Trend]]</f>
        <v>-3.8126902496493642E-5</v>
      </c>
      <c r="O148" s="9">
        <f t="shared" si="5"/>
        <v>-8.379009903562995E-3</v>
      </c>
      <c r="P148" s="9">
        <f>Table_dat150_[[#This Row],[Log Quadratic Trend]]+Table_dat150_[[#This Row],[Cycle]]</f>
        <v>6.7543886239308124</v>
      </c>
      <c r="Q148" s="9">
        <f>Table_dat150_[[#This Row],[LogExpenditure]]-Table_dat150_[[#This Row],[Log Quadratic Trend]]-Table_dat150_[[#This Row],[Cycle]]</f>
        <v>8.3408830010665014E-3</v>
      </c>
      <c r="R148" s="9">
        <f>AVERAGEIF(Table_dat150_[Quarter], B148, Table_dat150_[High Frequency])</f>
        <v>3.7456808917954526E-2</v>
      </c>
      <c r="S148" s="9">
        <f>Table_dat150_[[#This Row],[S0]]-AVERAGE($R$6:$R$9)</f>
        <v>3.7550349586397608E-2</v>
      </c>
    </row>
    <row r="149" spans="1:19" x14ac:dyDescent="0.3">
      <c r="A149">
        <v>1986</v>
      </c>
      <c r="B149">
        <v>4</v>
      </c>
      <c r="C149" s="1">
        <f>DATE(Table_dat150_[[#This Row],[Year]],(Table_dat150_[[#This Row],[Quarter]]-1)*3+2,15)</f>
        <v>31731</v>
      </c>
      <c r="D149">
        <f>Table_dat150_[[#This Row],[Year]]+1/8+(Table_dat150_[[#This Row],[Quarter]]-1)/4</f>
        <v>1986.875</v>
      </c>
      <c r="E149">
        <f>Table_dat150_[[#This Row],[DecDate]]^2</f>
        <v>3947672.265625</v>
      </c>
      <c r="F149">
        <v>836</v>
      </c>
      <c r="G149" s="8">
        <f>LN(Table_dat150_[[#This Row],[Expenditure]])</f>
        <v>6.7286286130847017</v>
      </c>
      <c r="H149" s="9">
        <f t="shared" si="4"/>
        <v>-3.3526011560693639E-2</v>
      </c>
      <c r="I149" s="9">
        <f>(1+Table_dat150_[[#This Row],[gt]])^4 -1</f>
        <v>-0.12750955424424182</v>
      </c>
      <c r="J149" s="9">
        <f>$V$18+$V$19*Table_dat150_[[#This Row],[DecDate]]</f>
        <v>875.77265478681875</v>
      </c>
      <c r="K149" s="9">
        <f>$V$37+$V$38*Table_dat150_[[#This Row],[DecDate]]+$V$39*Table_dat150_[[#This Row],[DecDate2]]</f>
        <v>866.8998387309548</v>
      </c>
      <c r="L149" s="9">
        <f>$AF$18+$AF$19*Table_dat150_[[#This Row],[DecDate]]</f>
        <v>6.7668782037917437</v>
      </c>
      <c r="M149" s="9">
        <f>$AF$37+$AF$38*Table_dat150_[[#This Row],[DecDate]]+$AF$39*Table_dat150_[[#This Row],[DecDate2]]</f>
        <v>6.7642775493799654</v>
      </c>
      <c r="N149" s="9">
        <f>Table_dat150_[[#This Row],[LogExpenditure]]-Table_dat150_[[#This Row],[Log Quadratic Trend]]</f>
        <v>-3.5648936295263667E-2</v>
      </c>
      <c r="O149" s="9">
        <f t="shared" si="5"/>
        <v>-3.2483612475720848E-3</v>
      </c>
      <c r="P149" s="9">
        <f>Table_dat150_[[#This Row],[Log Quadratic Trend]]+Table_dat150_[[#This Row],[Cycle]]</f>
        <v>6.761029188132393</v>
      </c>
      <c r="Q149" s="9">
        <f>Table_dat150_[[#This Row],[LogExpenditure]]-Table_dat150_[[#This Row],[Log Quadratic Trend]]-Table_dat150_[[#This Row],[Cycle]]</f>
        <v>-3.2400575047691581E-2</v>
      </c>
      <c r="R149" s="9">
        <f>AVERAGEIF(Table_dat150_[Quarter], B149, Table_dat150_[High Frequency])</f>
        <v>-2.8472086212635514E-2</v>
      </c>
      <c r="S149" s="9">
        <f>Table_dat150_[[#This Row],[S0]]-AVERAGE($R$6:$R$9)</f>
        <v>-2.8378545544192432E-2</v>
      </c>
    </row>
    <row r="150" spans="1:19" x14ac:dyDescent="0.3">
      <c r="A150">
        <v>1987</v>
      </c>
      <c r="B150">
        <v>1</v>
      </c>
      <c r="C150" s="1">
        <f>DATE(Table_dat150_[[#This Row],[Year]],(Table_dat150_[[#This Row],[Quarter]]-1)*3+2,15)</f>
        <v>31823</v>
      </c>
      <c r="D150">
        <f>Table_dat150_[[#This Row],[Year]]+1/8+(Table_dat150_[[#This Row],[Quarter]]-1)/4</f>
        <v>1987.125</v>
      </c>
      <c r="E150">
        <f>Table_dat150_[[#This Row],[DecDate]]^2</f>
        <v>3948665.765625</v>
      </c>
      <c r="F150">
        <v>819</v>
      </c>
      <c r="G150" s="8">
        <f>LN(Table_dat150_[[#This Row],[Expenditure]])</f>
        <v>6.7080840838530698</v>
      </c>
      <c r="H150" s="9">
        <f t="shared" si="4"/>
        <v>-2.033492822966507E-2</v>
      </c>
      <c r="I150" s="9">
        <f>(1+Table_dat150_[[#This Row],[gt]])^4 -1</f>
        <v>-7.889212082032826E-2</v>
      </c>
      <c r="J150" s="9">
        <f>$V$18+$V$19*Table_dat150_[[#This Row],[DecDate]]</f>
        <v>877.07831033064576</v>
      </c>
      <c r="K150" s="9">
        <f>$V$37+$V$38*Table_dat150_[[#This Row],[DecDate]]+$V$39*Table_dat150_[[#This Row],[DecDate2]]</f>
        <v>868.22140726125508</v>
      </c>
      <c r="L150" s="9">
        <f>$AF$18+$AF$19*Table_dat150_[[#This Row],[DecDate]]</f>
        <v>6.7683842325425188</v>
      </c>
      <c r="M150" s="9">
        <f>$AF$37+$AF$38*Table_dat150_[[#This Row],[DecDate]]+$AF$39*Table_dat150_[[#This Row],[DecDate2]]</f>
        <v>6.7657882422845184</v>
      </c>
      <c r="N150" s="9">
        <f>Table_dat150_[[#This Row],[LogExpenditure]]-Table_dat150_[[#This Row],[Log Quadratic Trend]]</f>
        <v>-5.7704158431448604E-2</v>
      </c>
      <c r="O150" s="9">
        <f t="shared" si="5"/>
        <v>-8.7414866161497073E-3</v>
      </c>
      <c r="P150" s="9">
        <f>Table_dat150_[[#This Row],[Log Quadratic Trend]]+Table_dat150_[[#This Row],[Cycle]]</f>
        <v>6.7570467556683687</v>
      </c>
      <c r="Q150" s="9">
        <f>Table_dat150_[[#This Row],[LogExpenditure]]-Table_dat150_[[#This Row],[Log Quadratic Trend]]-Table_dat150_[[#This Row],[Cycle]]</f>
        <v>-4.8962671815298897E-2</v>
      </c>
      <c r="R150" s="9">
        <f>AVERAGEIF(Table_dat150_[Quarter], B150, Table_dat150_[High Frequency])</f>
        <v>-4.2281954239907563E-2</v>
      </c>
      <c r="S150" s="9">
        <f>Table_dat150_[[#This Row],[S0]]-AVERAGE($R$6:$R$9)</f>
        <v>-4.2188413571464481E-2</v>
      </c>
    </row>
    <row r="151" spans="1:19" x14ac:dyDescent="0.3">
      <c r="A151">
        <v>1987</v>
      </c>
      <c r="B151">
        <v>2</v>
      </c>
      <c r="C151" s="1">
        <f>DATE(Table_dat150_[[#This Row],[Year]],(Table_dat150_[[#This Row],[Quarter]]-1)*3+2,15)</f>
        <v>31912</v>
      </c>
      <c r="D151">
        <f>Table_dat150_[[#This Row],[Year]]+1/8+(Table_dat150_[[#This Row],[Quarter]]-1)/4</f>
        <v>1987.375</v>
      </c>
      <c r="E151">
        <f>Table_dat150_[[#This Row],[DecDate]]^2</f>
        <v>3949659.390625</v>
      </c>
      <c r="F151">
        <v>888</v>
      </c>
      <c r="G151" s="8">
        <f>LN(Table_dat150_[[#This Row],[Expenditure]])</f>
        <v>6.7889717429921701</v>
      </c>
      <c r="H151" s="9">
        <f t="shared" si="4"/>
        <v>8.4249084249084255E-2</v>
      </c>
      <c r="I151" s="9">
        <f>(1+Table_dat150_[[#This Row],[gt]])^4 -1</f>
        <v>0.38202613554062359</v>
      </c>
      <c r="J151" s="9">
        <f>$V$18+$V$19*Table_dat150_[[#This Row],[DecDate]]</f>
        <v>878.38396587447278</v>
      </c>
      <c r="K151" s="9">
        <f>$V$37+$V$38*Table_dat150_[[#This Row],[DecDate]]+$V$39*Table_dat150_[[#This Row],[DecDate2]]</f>
        <v>869.54562795600214</v>
      </c>
      <c r="L151" s="9">
        <f>$AF$18+$AF$19*Table_dat150_[[#This Row],[DecDate]]</f>
        <v>6.7698902612932939</v>
      </c>
      <c r="M151" s="9">
        <f>$AF$37+$AF$38*Table_dat150_[[#This Row],[DecDate]]+$AF$39*Table_dat150_[[#This Row],[DecDate2]]</f>
        <v>6.7672997125480414</v>
      </c>
      <c r="N151" s="9">
        <f>Table_dat150_[[#This Row],[LogExpenditure]]-Table_dat150_[[#This Row],[Log Quadratic Trend]]</f>
        <v>2.1672030444128687E-2</v>
      </c>
      <c r="O151" s="9">
        <f t="shared" si="5"/>
        <v>-1.1878038368451093E-2</v>
      </c>
      <c r="P151" s="9">
        <f>Table_dat150_[[#This Row],[Log Quadratic Trend]]+Table_dat150_[[#This Row],[Cycle]]</f>
        <v>6.7554216741795905</v>
      </c>
      <c r="Q151" s="9">
        <f>Table_dat150_[[#This Row],[LogExpenditure]]-Table_dat150_[[#This Row],[Log Quadratic Trend]]-Table_dat150_[[#This Row],[Cycle]]</f>
        <v>3.3550068812579784E-2</v>
      </c>
      <c r="R151" s="9">
        <f>AVERAGEIF(Table_dat150_[Quarter], B151, Table_dat150_[High Frequency])</f>
        <v>3.2923068860816217E-2</v>
      </c>
      <c r="S151" s="9">
        <f>Table_dat150_[[#This Row],[S0]]-AVERAGE($R$6:$R$9)</f>
        <v>3.3016609529259298E-2</v>
      </c>
    </row>
    <row r="152" spans="1:19" x14ac:dyDescent="0.3">
      <c r="A152">
        <v>1987</v>
      </c>
      <c r="B152">
        <v>3</v>
      </c>
      <c r="C152" s="1">
        <f>DATE(Table_dat150_[[#This Row],[Year]],(Table_dat150_[[#This Row],[Quarter]]-1)*3+2,15)</f>
        <v>32004</v>
      </c>
      <c r="D152">
        <f>Table_dat150_[[#This Row],[Year]]+1/8+(Table_dat150_[[#This Row],[Quarter]]-1)/4</f>
        <v>1987.625</v>
      </c>
      <c r="E152">
        <f>Table_dat150_[[#This Row],[DecDate]]^2</f>
        <v>3950653.140625</v>
      </c>
      <c r="F152">
        <v>895</v>
      </c>
      <c r="G152" s="8">
        <f>LN(Table_dat150_[[#This Row],[Expenditure]])</f>
        <v>6.7968237182748554</v>
      </c>
      <c r="H152" s="9">
        <f t="shared" si="4"/>
        <v>7.8828828828828822E-3</v>
      </c>
      <c r="I152" s="9">
        <f>(1+Table_dat150_[[#This Row],[gt]])^4 -1</f>
        <v>3.1906333812568244E-2</v>
      </c>
      <c r="J152" s="9">
        <f>$V$18+$V$19*Table_dat150_[[#This Row],[DecDate]]</f>
        <v>879.68962141829797</v>
      </c>
      <c r="K152" s="9">
        <f>$V$37+$V$38*Table_dat150_[[#This Row],[DecDate]]+$V$39*Table_dat150_[[#This Row],[DecDate2]]</f>
        <v>870.87250081516686</v>
      </c>
      <c r="L152" s="9">
        <f>$AF$18+$AF$19*Table_dat150_[[#This Row],[DecDate]]</f>
        <v>6.771396290044069</v>
      </c>
      <c r="M152" s="9">
        <f>$AF$37+$AF$38*Table_dat150_[[#This Row],[DecDate]]+$AF$39*Table_dat150_[[#This Row],[DecDate2]]</f>
        <v>6.7688119601705239</v>
      </c>
      <c r="N152" s="9">
        <f>Table_dat150_[[#This Row],[LogExpenditure]]-Table_dat150_[[#This Row],[Log Quadratic Trend]]</f>
        <v>2.8011758104331541E-2</v>
      </c>
      <c r="O152" s="9">
        <f t="shared" si="5"/>
        <v>-1.4349520443632181E-2</v>
      </c>
      <c r="P152" s="9">
        <f>Table_dat150_[[#This Row],[Log Quadratic Trend]]+Table_dat150_[[#This Row],[Cycle]]</f>
        <v>6.7544624397268915</v>
      </c>
      <c r="Q152" s="9">
        <f>Table_dat150_[[#This Row],[LogExpenditure]]-Table_dat150_[[#This Row],[Log Quadratic Trend]]-Table_dat150_[[#This Row],[Cycle]]</f>
        <v>4.2361278547963718E-2</v>
      </c>
      <c r="R152" s="9">
        <f>AVERAGEIF(Table_dat150_[Quarter], B152, Table_dat150_[High Frequency])</f>
        <v>3.7456808917954526E-2</v>
      </c>
      <c r="S152" s="9">
        <f>Table_dat150_[[#This Row],[S0]]-AVERAGE($R$6:$R$9)</f>
        <v>3.7550349586397608E-2</v>
      </c>
    </row>
    <row r="153" spans="1:19" x14ac:dyDescent="0.3">
      <c r="A153">
        <v>1987</v>
      </c>
      <c r="B153">
        <v>4</v>
      </c>
      <c r="C153" s="1">
        <f>DATE(Table_dat150_[[#This Row],[Year]],(Table_dat150_[[#This Row],[Quarter]]-1)*3+2,15)</f>
        <v>32096</v>
      </c>
      <c r="D153">
        <f>Table_dat150_[[#This Row],[Year]]+1/8+(Table_dat150_[[#This Row],[Quarter]]-1)/4</f>
        <v>1987.875</v>
      </c>
      <c r="E153">
        <f>Table_dat150_[[#This Row],[DecDate]]^2</f>
        <v>3951647.015625</v>
      </c>
      <c r="F153">
        <v>858</v>
      </c>
      <c r="G153" s="8">
        <f>LN(Table_dat150_[[#This Row],[Expenditure]])</f>
        <v>6.7546040994879624</v>
      </c>
      <c r="H153" s="9">
        <f t="shared" si="4"/>
        <v>-4.1340782122905026E-2</v>
      </c>
      <c r="I153" s="9">
        <f>(1+Table_dat150_[[#This Row],[gt]])^4 -1</f>
        <v>-0.15538846155787922</v>
      </c>
      <c r="J153" s="9">
        <f>$V$18+$V$19*Table_dat150_[[#This Row],[DecDate]]</f>
        <v>880.99527696212499</v>
      </c>
      <c r="K153" s="9">
        <f>$V$37+$V$38*Table_dat150_[[#This Row],[DecDate]]+$V$39*Table_dat150_[[#This Row],[DecDate2]]</f>
        <v>872.20202583874925</v>
      </c>
      <c r="L153" s="9">
        <f>$AF$18+$AF$19*Table_dat150_[[#This Row],[DecDate]]</f>
        <v>6.7729023187948441</v>
      </c>
      <c r="M153" s="9">
        <f>$AF$37+$AF$38*Table_dat150_[[#This Row],[DecDate]]+$AF$39*Table_dat150_[[#This Row],[DecDate2]]</f>
        <v>6.7703249851519658</v>
      </c>
      <c r="N153" s="9">
        <f>Table_dat150_[[#This Row],[LogExpenditure]]-Table_dat150_[[#This Row],[Log Quadratic Trend]]</f>
        <v>-1.5720885664003426E-2</v>
      </c>
      <c r="O153" s="9">
        <f t="shared" si="5"/>
        <v>-1.2678370084563185E-3</v>
      </c>
      <c r="P153" s="9">
        <f>Table_dat150_[[#This Row],[Log Quadratic Trend]]+Table_dat150_[[#This Row],[Cycle]]</f>
        <v>6.7690571481435091</v>
      </c>
      <c r="Q153" s="9">
        <f>Table_dat150_[[#This Row],[LogExpenditure]]-Table_dat150_[[#This Row],[Log Quadratic Trend]]-Table_dat150_[[#This Row],[Cycle]]</f>
        <v>-1.4453048655547108E-2</v>
      </c>
      <c r="R153" s="9">
        <f>AVERAGEIF(Table_dat150_[Quarter], B153, Table_dat150_[High Frequency])</f>
        <v>-2.8472086212635514E-2</v>
      </c>
      <c r="S153" s="9">
        <f>Table_dat150_[[#This Row],[S0]]-AVERAGE($R$6:$R$9)</f>
        <v>-2.8378545544192432E-2</v>
      </c>
    </row>
    <row r="154" spans="1:19" x14ac:dyDescent="0.3">
      <c r="A154">
        <v>1988</v>
      </c>
      <c r="B154">
        <v>1</v>
      </c>
      <c r="C154" s="1">
        <f>DATE(Table_dat150_[[#This Row],[Year]],(Table_dat150_[[#This Row],[Quarter]]-1)*3+2,15)</f>
        <v>32188</v>
      </c>
      <c r="D154">
        <f>Table_dat150_[[#This Row],[Year]]+1/8+(Table_dat150_[[#This Row],[Quarter]]-1)/4</f>
        <v>1988.125</v>
      </c>
      <c r="E154">
        <f>Table_dat150_[[#This Row],[DecDate]]^2</f>
        <v>3952641.015625</v>
      </c>
      <c r="F154">
        <v>832</v>
      </c>
      <c r="G154" s="8">
        <f>LN(Table_dat150_[[#This Row],[Expenditure]])</f>
        <v>6.7238324408212087</v>
      </c>
      <c r="H154" s="9">
        <f t="shared" si="4"/>
        <v>-3.0303030303030304E-2</v>
      </c>
      <c r="I154" s="9">
        <f>(1+Table_dat150_[[#This Row],[gt]])^4 -1</f>
        <v>-0.11581294200878456</v>
      </c>
      <c r="J154" s="9">
        <f>$V$18+$V$19*Table_dat150_[[#This Row],[DecDate]]</f>
        <v>882.30093250595201</v>
      </c>
      <c r="K154" s="9">
        <f>$V$37+$V$38*Table_dat150_[[#This Row],[DecDate]]+$V$39*Table_dat150_[[#This Row],[DecDate2]]</f>
        <v>873.53420302674931</v>
      </c>
      <c r="L154" s="9">
        <f>$AF$18+$AF$19*Table_dat150_[[#This Row],[DecDate]]</f>
        <v>6.7744083475456209</v>
      </c>
      <c r="M154" s="9">
        <f>$AF$37+$AF$38*Table_dat150_[[#This Row],[DecDate]]+$AF$39*Table_dat150_[[#This Row],[DecDate2]]</f>
        <v>6.7718387874923778</v>
      </c>
      <c r="N154" s="9">
        <f>Table_dat150_[[#This Row],[LogExpenditure]]-Table_dat150_[[#This Row],[Log Quadratic Trend]]</f>
        <v>-4.8006346671169098E-2</v>
      </c>
      <c r="O154" s="9">
        <f t="shared" si="5"/>
        <v>-2.7816393488647507E-3</v>
      </c>
      <c r="P154" s="9">
        <f>Table_dat150_[[#This Row],[Log Quadratic Trend]]+Table_dat150_[[#This Row],[Cycle]]</f>
        <v>6.7690571481435127</v>
      </c>
      <c r="Q154" s="9">
        <f>Table_dat150_[[#This Row],[LogExpenditure]]-Table_dat150_[[#This Row],[Log Quadratic Trend]]-Table_dat150_[[#This Row],[Cycle]]</f>
        <v>-4.5224707322304346E-2</v>
      </c>
      <c r="R154" s="9">
        <f>AVERAGEIF(Table_dat150_[Quarter], B154, Table_dat150_[High Frequency])</f>
        <v>-4.2281954239907563E-2</v>
      </c>
      <c r="S154" s="9">
        <f>Table_dat150_[[#This Row],[S0]]-AVERAGE($R$6:$R$9)</f>
        <v>-4.2188413571464481E-2</v>
      </c>
    </row>
    <row r="155" spans="1:19" x14ac:dyDescent="0.3">
      <c r="A155">
        <v>1988</v>
      </c>
      <c r="B155">
        <v>2</v>
      </c>
      <c r="C155" s="1">
        <f>DATE(Table_dat150_[[#This Row],[Year]],(Table_dat150_[[#This Row],[Quarter]]-1)*3+2,15)</f>
        <v>32278</v>
      </c>
      <c r="D155">
        <f>Table_dat150_[[#This Row],[Year]]+1/8+(Table_dat150_[[#This Row],[Quarter]]-1)/4</f>
        <v>1988.375</v>
      </c>
      <c r="E155">
        <f>Table_dat150_[[#This Row],[DecDate]]^2</f>
        <v>3953635.140625</v>
      </c>
      <c r="F155">
        <v>881</v>
      </c>
      <c r="G155" s="8">
        <f>LN(Table_dat150_[[#This Row],[Expenditure]])</f>
        <v>6.7810576259361799</v>
      </c>
      <c r="H155" s="9">
        <f t="shared" si="4"/>
        <v>5.8894230769230768E-2</v>
      </c>
      <c r="I155" s="9">
        <f>(1+Table_dat150_[[#This Row],[gt]])^4 -1</f>
        <v>0.25721724201102725</v>
      </c>
      <c r="J155" s="9">
        <f>$V$18+$V$19*Table_dat150_[[#This Row],[DecDate]]</f>
        <v>883.6065880497772</v>
      </c>
      <c r="K155" s="9">
        <f>$V$37+$V$38*Table_dat150_[[#This Row],[DecDate]]+$V$39*Table_dat150_[[#This Row],[DecDate2]]</f>
        <v>874.86903237915249</v>
      </c>
      <c r="L155" s="9">
        <f>$AF$18+$AF$19*Table_dat150_[[#This Row],[DecDate]]</f>
        <v>6.775914376296396</v>
      </c>
      <c r="M155" s="9">
        <f>$AF$37+$AF$38*Table_dat150_[[#This Row],[DecDate]]+$AF$39*Table_dat150_[[#This Row],[DecDate2]]</f>
        <v>6.7733533671917492</v>
      </c>
      <c r="N155" s="9">
        <f>Table_dat150_[[#This Row],[LogExpenditure]]-Table_dat150_[[#This Row],[Log Quadratic Trend]]</f>
        <v>7.7042587444307031E-3</v>
      </c>
      <c r="O155" s="9">
        <f t="shared" si="5"/>
        <v>-1.2740142805615483E-2</v>
      </c>
      <c r="P155" s="9">
        <f>Table_dat150_[[#This Row],[Log Quadratic Trend]]+Table_dat150_[[#This Row],[Cycle]]</f>
        <v>6.7606132243861339</v>
      </c>
      <c r="Q155" s="9">
        <f>Table_dat150_[[#This Row],[LogExpenditure]]-Table_dat150_[[#This Row],[Log Quadratic Trend]]-Table_dat150_[[#This Row],[Cycle]]</f>
        <v>2.0444401550046187E-2</v>
      </c>
      <c r="R155" s="9">
        <f>AVERAGEIF(Table_dat150_[Quarter], B155, Table_dat150_[High Frequency])</f>
        <v>3.2923068860816217E-2</v>
      </c>
      <c r="S155" s="9">
        <f>Table_dat150_[[#This Row],[S0]]-AVERAGE($R$6:$R$9)</f>
        <v>3.3016609529259298E-2</v>
      </c>
    </row>
    <row r="156" spans="1:19" x14ac:dyDescent="0.3">
      <c r="A156">
        <v>1988</v>
      </c>
      <c r="B156">
        <v>3</v>
      </c>
      <c r="C156" s="1">
        <f>DATE(Table_dat150_[[#This Row],[Year]],(Table_dat150_[[#This Row],[Quarter]]-1)*3+2,15)</f>
        <v>32370</v>
      </c>
      <c r="D156">
        <f>Table_dat150_[[#This Row],[Year]]+1/8+(Table_dat150_[[#This Row],[Quarter]]-1)/4</f>
        <v>1988.625</v>
      </c>
      <c r="E156">
        <f>Table_dat150_[[#This Row],[DecDate]]^2</f>
        <v>3954629.390625</v>
      </c>
      <c r="F156">
        <v>888</v>
      </c>
      <c r="G156" s="8">
        <f>LN(Table_dat150_[[#This Row],[Expenditure]])</f>
        <v>6.7889717429921701</v>
      </c>
      <c r="H156" s="9">
        <f t="shared" si="4"/>
        <v>7.9455164585698068E-3</v>
      </c>
      <c r="I156" s="9">
        <f>(1+Table_dat150_[[#This Row],[gt]])^4 -1</f>
        <v>3.2162863651556961E-2</v>
      </c>
      <c r="J156" s="9">
        <f>$V$18+$V$19*Table_dat150_[[#This Row],[DecDate]]</f>
        <v>884.91224359360422</v>
      </c>
      <c r="K156" s="9">
        <f>$V$37+$V$38*Table_dat150_[[#This Row],[DecDate]]+$V$39*Table_dat150_[[#This Row],[DecDate2]]</f>
        <v>876.20651389598788</v>
      </c>
      <c r="L156" s="9">
        <f>$AF$18+$AF$19*Table_dat150_[[#This Row],[DecDate]]</f>
        <v>6.7774204050471711</v>
      </c>
      <c r="M156" s="9">
        <f>$AF$37+$AF$38*Table_dat150_[[#This Row],[DecDate]]+$AF$39*Table_dat150_[[#This Row],[DecDate2]]</f>
        <v>6.7748687242500836</v>
      </c>
      <c r="N156" s="9">
        <f>Table_dat150_[[#This Row],[LogExpenditure]]-Table_dat150_[[#This Row],[Log Quadratic Trend]]</f>
        <v>1.4103018742086526E-2</v>
      </c>
      <c r="O156" s="9">
        <f t="shared" si="5"/>
        <v>-2.3803852440994432E-2</v>
      </c>
      <c r="P156" s="9">
        <f>Table_dat150_[[#This Row],[Log Quadratic Trend]]+Table_dat150_[[#This Row],[Cycle]]</f>
        <v>6.7510648718090893</v>
      </c>
      <c r="Q156" s="9">
        <f>Table_dat150_[[#This Row],[LogExpenditure]]-Table_dat150_[[#This Row],[Log Quadratic Trend]]-Table_dat150_[[#This Row],[Cycle]]</f>
        <v>3.7906871183080962E-2</v>
      </c>
      <c r="R156" s="9">
        <f>AVERAGEIF(Table_dat150_[Quarter], B156, Table_dat150_[High Frequency])</f>
        <v>3.7456808917954526E-2</v>
      </c>
      <c r="S156" s="9">
        <f>Table_dat150_[[#This Row],[S0]]-AVERAGE($R$6:$R$9)</f>
        <v>3.7550349586397608E-2</v>
      </c>
    </row>
    <row r="157" spans="1:19" x14ac:dyDescent="0.3">
      <c r="A157">
        <v>1988</v>
      </c>
      <c r="B157">
        <v>4</v>
      </c>
      <c r="C157" s="1">
        <f>DATE(Table_dat150_[[#This Row],[Year]],(Table_dat150_[[#This Row],[Quarter]]-1)*3+2,15)</f>
        <v>32462</v>
      </c>
      <c r="D157">
        <f>Table_dat150_[[#This Row],[Year]]+1/8+(Table_dat150_[[#This Row],[Quarter]]-1)/4</f>
        <v>1988.875</v>
      </c>
      <c r="E157">
        <f>Table_dat150_[[#This Row],[DecDate]]^2</f>
        <v>3955623.765625</v>
      </c>
      <c r="F157">
        <v>858</v>
      </c>
      <c r="G157" s="8">
        <f>LN(Table_dat150_[[#This Row],[Expenditure]])</f>
        <v>6.7546040994879624</v>
      </c>
      <c r="H157" s="9">
        <f t="shared" si="4"/>
        <v>-3.3783783783783786E-2</v>
      </c>
      <c r="I157" s="9">
        <f>(1+Table_dat150_[[#This Row],[gt]])^4 -1</f>
        <v>-0.12844000387039844</v>
      </c>
      <c r="J157" s="9">
        <f>$V$18+$V$19*Table_dat150_[[#This Row],[DecDate]]</f>
        <v>886.21789913743123</v>
      </c>
      <c r="K157" s="9">
        <f>$V$37+$V$38*Table_dat150_[[#This Row],[DecDate]]+$V$39*Table_dat150_[[#This Row],[DecDate2]]</f>
        <v>877.54664757721184</v>
      </c>
      <c r="L157" s="9">
        <f>$AF$18+$AF$19*Table_dat150_[[#This Row],[DecDate]]</f>
        <v>6.7789264337979462</v>
      </c>
      <c r="M157" s="9">
        <f>$AF$37+$AF$38*Table_dat150_[[#This Row],[DecDate]]+$AF$39*Table_dat150_[[#This Row],[DecDate2]]</f>
        <v>6.7763848586673845</v>
      </c>
      <c r="N157" s="9">
        <f>Table_dat150_[[#This Row],[LogExpenditure]]-Table_dat150_[[#This Row],[Log Quadratic Trend]]</f>
        <v>-2.1780759179422127E-2</v>
      </c>
      <c r="O157" s="9">
        <f t="shared" si="5"/>
        <v>-9.82986812821025E-3</v>
      </c>
      <c r="P157" s="9">
        <f>Table_dat150_[[#This Row],[Log Quadratic Trend]]+Table_dat150_[[#This Row],[Cycle]]</f>
        <v>6.7665549905391744</v>
      </c>
      <c r="Q157" s="9">
        <f>Table_dat150_[[#This Row],[LogExpenditure]]-Table_dat150_[[#This Row],[Log Quadratic Trend]]-Table_dat150_[[#This Row],[Cycle]]</f>
        <v>-1.1950891051211877E-2</v>
      </c>
      <c r="R157" s="9">
        <f>AVERAGEIF(Table_dat150_[Quarter], B157, Table_dat150_[High Frequency])</f>
        <v>-2.8472086212635514E-2</v>
      </c>
      <c r="S157" s="9">
        <f>Table_dat150_[[#This Row],[S0]]-AVERAGE($R$6:$R$9)</f>
        <v>-2.8378545544192432E-2</v>
      </c>
    </row>
    <row r="158" spans="1:19" x14ac:dyDescent="0.3">
      <c r="A158">
        <v>1989</v>
      </c>
      <c r="B158">
        <v>1</v>
      </c>
      <c r="C158" s="1">
        <f>DATE(Table_dat150_[[#This Row],[Year]],(Table_dat150_[[#This Row],[Quarter]]-1)*3+2,15)</f>
        <v>32554</v>
      </c>
      <c r="D158">
        <f>Table_dat150_[[#This Row],[Year]]+1/8+(Table_dat150_[[#This Row],[Quarter]]-1)/4</f>
        <v>1989.125</v>
      </c>
      <c r="E158">
        <f>Table_dat150_[[#This Row],[DecDate]]^2</f>
        <v>3956618.265625</v>
      </c>
      <c r="F158">
        <v>818</v>
      </c>
      <c r="G158" s="8">
        <f>LN(Table_dat150_[[#This Row],[Expenditure]])</f>
        <v>6.7068623366027467</v>
      </c>
      <c r="H158" s="9">
        <f t="shared" si="4"/>
        <v>-4.6620046620046623E-2</v>
      </c>
      <c r="I158" s="9">
        <f>(1+Table_dat150_[[#This Row],[gt]])^4 -1</f>
        <v>-0.17384019160455177</v>
      </c>
      <c r="J158" s="9">
        <f>$V$18+$V$19*Table_dat150_[[#This Row],[DecDate]]</f>
        <v>887.52355468125825</v>
      </c>
      <c r="K158" s="9">
        <f>$V$37+$V$38*Table_dat150_[[#This Row],[DecDate]]+$V$39*Table_dat150_[[#This Row],[DecDate2]]</f>
        <v>878.88943342286802</v>
      </c>
      <c r="L158" s="9">
        <f>$AF$18+$AF$19*Table_dat150_[[#This Row],[DecDate]]</f>
        <v>6.7804324625487213</v>
      </c>
      <c r="M158" s="9">
        <f>$AF$37+$AF$38*Table_dat150_[[#This Row],[DecDate]]+$AF$39*Table_dat150_[[#This Row],[DecDate2]]</f>
        <v>6.7779017704436448</v>
      </c>
      <c r="N158" s="9">
        <f>Table_dat150_[[#This Row],[LogExpenditure]]-Table_dat150_[[#This Row],[Log Quadratic Trend]]</f>
        <v>-7.103943384089817E-2</v>
      </c>
      <c r="O158" s="9">
        <f t="shared" si="5"/>
        <v>-4.8693851895295738E-3</v>
      </c>
      <c r="P158" s="9">
        <f>Table_dat150_[[#This Row],[Log Quadratic Trend]]+Table_dat150_[[#This Row],[Cycle]]</f>
        <v>6.7730323852541154</v>
      </c>
      <c r="Q158" s="9">
        <f>Table_dat150_[[#This Row],[LogExpenditure]]-Table_dat150_[[#This Row],[Log Quadratic Trend]]-Table_dat150_[[#This Row],[Cycle]]</f>
        <v>-6.6170048651368593E-2</v>
      </c>
      <c r="R158" s="9">
        <f>AVERAGEIF(Table_dat150_[Quarter], B158, Table_dat150_[High Frequency])</f>
        <v>-4.2281954239907563E-2</v>
      </c>
      <c r="S158" s="9">
        <f>Table_dat150_[[#This Row],[S0]]-AVERAGE($R$6:$R$9)</f>
        <v>-4.2188413571464481E-2</v>
      </c>
    </row>
    <row r="159" spans="1:19" x14ac:dyDescent="0.3">
      <c r="A159">
        <v>1989</v>
      </c>
      <c r="B159">
        <v>2</v>
      </c>
      <c r="C159" s="1">
        <f>DATE(Table_dat150_[[#This Row],[Year]],(Table_dat150_[[#This Row],[Quarter]]-1)*3+2,15)</f>
        <v>32643</v>
      </c>
      <c r="D159">
        <f>Table_dat150_[[#This Row],[Year]]+1/8+(Table_dat150_[[#This Row],[Quarter]]-1)/4</f>
        <v>1989.375</v>
      </c>
      <c r="E159">
        <f>Table_dat150_[[#This Row],[DecDate]]^2</f>
        <v>3957612.890625</v>
      </c>
      <c r="F159">
        <v>899</v>
      </c>
      <c r="G159" s="8">
        <f>LN(Table_dat150_[[#This Row],[Expenditure]])</f>
        <v>6.80128303447162</v>
      </c>
      <c r="H159" s="9">
        <f t="shared" si="4"/>
        <v>9.9022004889975548E-2</v>
      </c>
      <c r="I159" s="9">
        <f>(1+Table_dat150_[[#This Row],[gt]])^4 -1</f>
        <v>0.45890009392366404</v>
      </c>
      <c r="J159" s="9">
        <f>$V$18+$V$19*Table_dat150_[[#This Row],[DecDate]]</f>
        <v>888.82921022508344</v>
      </c>
      <c r="K159" s="9">
        <f>$V$37+$V$38*Table_dat150_[[#This Row],[DecDate]]+$V$39*Table_dat150_[[#This Row],[DecDate2]]</f>
        <v>880.23487143295642</v>
      </c>
      <c r="L159" s="9">
        <f>$AF$18+$AF$19*Table_dat150_[[#This Row],[DecDate]]</f>
        <v>6.7819384912994964</v>
      </c>
      <c r="M159" s="9">
        <f>$AF$37+$AF$38*Table_dat150_[[#This Row],[DecDate]]+$AF$39*Table_dat150_[[#This Row],[DecDate2]]</f>
        <v>6.7794194595788682</v>
      </c>
      <c r="N159" s="9">
        <f>Table_dat150_[[#This Row],[LogExpenditure]]-Table_dat150_[[#This Row],[Log Quadratic Trend]]</f>
        <v>2.1863574892751814E-2</v>
      </c>
      <c r="O159" s="9">
        <f t="shared" si="5"/>
        <v>-1.3727347694840653E-2</v>
      </c>
      <c r="P159" s="9">
        <f>Table_dat150_[[#This Row],[Log Quadratic Trend]]+Table_dat150_[[#This Row],[Cycle]]</f>
        <v>6.7656921118840279</v>
      </c>
      <c r="Q159" s="9">
        <f>Table_dat150_[[#This Row],[LogExpenditure]]-Table_dat150_[[#This Row],[Log Quadratic Trend]]-Table_dat150_[[#This Row],[Cycle]]</f>
        <v>3.5590922587592465E-2</v>
      </c>
      <c r="R159" s="9">
        <f>AVERAGEIF(Table_dat150_[Quarter], B159, Table_dat150_[High Frequency])</f>
        <v>3.2923068860816217E-2</v>
      </c>
      <c r="S159" s="9">
        <f>Table_dat150_[[#This Row],[S0]]-AVERAGE($R$6:$R$9)</f>
        <v>3.3016609529259298E-2</v>
      </c>
    </row>
    <row r="160" spans="1:19" x14ac:dyDescent="0.3">
      <c r="A160">
        <v>1989</v>
      </c>
      <c r="B160">
        <v>3</v>
      </c>
      <c r="C160" s="1">
        <f>DATE(Table_dat150_[[#This Row],[Year]],(Table_dat150_[[#This Row],[Quarter]]-1)*3+2,15)</f>
        <v>32735</v>
      </c>
      <c r="D160">
        <f>Table_dat150_[[#This Row],[Year]]+1/8+(Table_dat150_[[#This Row],[Quarter]]-1)/4</f>
        <v>1989.625</v>
      </c>
      <c r="E160">
        <f>Table_dat150_[[#This Row],[DecDate]]^2</f>
        <v>3958607.640625</v>
      </c>
      <c r="F160">
        <v>910</v>
      </c>
      <c r="G160" s="8">
        <f>LN(Table_dat150_[[#This Row],[Expenditure]])</f>
        <v>6.8134445995108956</v>
      </c>
      <c r="H160" s="9">
        <f t="shared" si="4"/>
        <v>1.2235817575083427E-2</v>
      </c>
      <c r="I160" s="9">
        <f>(1+Table_dat150_[[#This Row],[gt]])^4 -1</f>
        <v>4.984891165842309E-2</v>
      </c>
      <c r="J160" s="9">
        <f>$V$18+$V$19*Table_dat150_[[#This Row],[DecDate]]</f>
        <v>890.13486576891046</v>
      </c>
      <c r="K160" s="9">
        <f>$V$37+$V$38*Table_dat150_[[#This Row],[DecDate]]+$V$39*Table_dat150_[[#This Row],[DecDate2]]</f>
        <v>881.58296160744794</v>
      </c>
      <c r="L160" s="9">
        <f>$AF$18+$AF$19*Table_dat150_[[#This Row],[DecDate]]</f>
        <v>6.7834445200502733</v>
      </c>
      <c r="M160" s="9">
        <f>$AF$37+$AF$38*Table_dat150_[[#This Row],[DecDate]]+$AF$39*Table_dat150_[[#This Row],[DecDate2]]</f>
        <v>6.7809379260730616</v>
      </c>
      <c r="N160" s="9">
        <f>Table_dat150_[[#This Row],[LogExpenditure]]-Table_dat150_[[#This Row],[Log Quadratic Trend]]</f>
        <v>3.2506673437834088E-2</v>
      </c>
      <c r="O160" s="9">
        <f t="shared" si="5"/>
        <v>-1.901063123815554E-2</v>
      </c>
      <c r="P160" s="9">
        <f>Table_dat150_[[#This Row],[Log Quadratic Trend]]+Table_dat150_[[#This Row],[Cycle]]</f>
        <v>6.7619272948349058</v>
      </c>
      <c r="Q160" s="9">
        <f>Table_dat150_[[#This Row],[LogExpenditure]]-Table_dat150_[[#This Row],[Log Quadratic Trend]]-Table_dat150_[[#This Row],[Cycle]]</f>
        <v>5.1517304675989625E-2</v>
      </c>
      <c r="R160" s="9">
        <f>AVERAGEIF(Table_dat150_[Quarter], B160, Table_dat150_[High Frequency])</f>
        <v>3.7456808917954526E-2</v>
      </c>
      <c r="S160" s="9">
        <f>Table_dat150_[[#This Row],[S0]]-AVERAGE($R$6:$R$9)</f>
        <v>3.7550349586397608E-2</v>
      </c>
    </row>
    <row r="161" spans="1:19" x14ac:dyDescent="0.3">
      <c r="A161">
        <v>1989</v>
      </c>
      <c r="B161">
        <v>4</v>
      </c>
      <c r="C161" s="1">
        <f>DATE(Table_dat150_[[#This Row],[Year]],(Table_dat150_[[#This Row],[Quarter]]-1)*3+2,15)</f>
        <v>32827</v>
      </c>
      <c r="D161">
        <f>Table_dat150_[[#This Row],[Year]]+1/8+(Table_dat150_[[#This Row],[Quarter]]-1)/4</f>
        <v>1989.875</v>
      </c>
      <c r="E161">
        <f>Table_dat150_[[#This Row],[DecDate]]^2</f>
        <v>3959602.515625</v>
      </c>
      <c r="F161">
        <v>856</v>
      </c>
      <c r="G161" s="8">
        <f>LN(Table_dat150_[[#This Row],[Expenditure]])</f>
        <v>6.752270376141742</v>
      </c>
      <c r="H161" s="9">
        <f t="shared" si="4"/>
        <v>-5.9340659340659338E-2</v>
      </c>
      <c r="I161" s="9">
        <f>(1+Table_dat150_[[#This Row],[gt]])^4 -1</f>
        <v>-0.21705818294814638</v>
      </c>
      <c r="J161" s="9">
        <f>$V$18+$V$19*Table_dat150_[[#This Row],[DecDate]]</f>
        <v>891.44052131273747</v>
      </c>
      <c r="K161" s="9">
        <f>$V$37+$V$38*Table_dat150_[[#This Row],[DecDate]]+$V$39*Table_dat150_[[#This Row],[DecDate2]]</f>
        <v>882.93370394635713</v>
      </c>
      <c r="L161" s="9">
        <f>$AF$18+$AF$19*Table_dat150_[[#This Row],[DecDate]]</f>
        <v>6.7849505488010484</v>
      </c>
      <c r="M161" s="9">
        <f>$AF$37+$AF$38*Table_dat150_[[#This Row],[DecDate]]+$AF$39*Table_dat150_[[#This Row],[DecDate2]]</f>
        <v>6.7824571699262108</v>
      </c>
      <c r="N161" s="9">
        <f>Table_dat150_[[#This Row],[LogExpenditure]]-Table_dat150_[[#This Row],[Log Quadratic Trend]]</f>
        <v>-3.0186793784468868E-2</v>
      </c>
      <c r="O161" s="9">
        <f t="shared" si="5"/>
        <v>-2.314259816870212E-3</v>
      </c>
      <c r="P161" s="9">
        <f>Table_dat150_[[#This Row],[Log Quadratic Trend]]+Table_dat150_[[#This Row],[Cycle]]</f>
        <v>6.7801429101093404</v>
      </c>
      <c r="Q161" s="9">
        <f>Table_dat150_[[#This Row],[LogExpenditure]]-Table_dat150_[[#This Row],[Log Quadratic Trend]]-Table_dat150_[[#This Row],[Cycle]]</f>
        <v>-2.7872533967598655E-2</v>
      </c>
      <c r="R161" s="9">
        <f>AVERAGEIF(Table_dat150_[Quarter], B161, Table_dat150_[High Frequency])</f>
        <v>-2.8472086212635514E-2</v>
      </c>
      <c r="S161" s="9">
        <f>Table_dat150_[[#This Row],[S0]]-AVERAGE($R$6:$R$9)</f>
        <v>-2.8378545544192432E-2</v>
      </c>
    </row>
    <row r="162" spans="1:19" x14ac:dyDescent="0.3">
      <c r="A162">
        <v>1990</v>
      </c>
      <c r="B162">
        <v>1</v>
      </c>
      <c r="C162" s="1">
        <f>DATE(Table_dat150_[[#This Row],[Year]],(Table_dat150_[[#This Row],[Quarter]]-1)*3+2,15)</f>
        <v>32919</v>
      </c>
      <c r="D162">
        <f>Table_dat150_[[#This Row],[Year]]+1/8+(Table_dat150_[[#This Row],[Quarter]]-1)/4</f>
        <v>1990.125</v>
      </c>
      <c r="E162">
        <f>Table_dat150_[[#This Row],[DecDate]]^2</f>
        <v>3960597.515625</v>
      </c>
      <c r="F162">
        <v>842</v>
      </c>
      <c r="G162" s="8">
        <f>LN(Table_dat150_[[#This Row],[Expenditure]])</f>
        <v>6.7357800142423265</v>
      </c>
      <c r="H162" s="9">
        <f t="shared" si="4"/>
        <v>-1.6355140186915886E-2</v>
      </c>
      <c r="I162" s="9">
        <f>(1+Table_dat150_[[#This Row],[gt]])^4 -1</f>
        <v>-6.3833044918970572E-2</v>
      </c>
      <c r="J162" s="9">
        <f>$V$18+$V$19*Table_dat150_[[#This Row],[DecDate]]</f>
        <v>892.74617685656267</v>
      </c>
      <c r="K162" s="9">
        <f>$V$37+$V$38*Table_dat150_[[#This Row],[DecDate]]+$V$39*Table_dat150_[[#This Row],[DecDate2]]</f>
        <v>884.28709844969853</v>
      </c>
      <c r="L162" s="9">
        <f>$AF$18+$AF$19*Table_dat150_[[#This Row],[DecDate]]</f>
        <v>6.7864565775518235</v>
      </c>
      <c r="M162" s="9">
        <f>$AF$37+$AF$38*Table_dat150_[[#This Row],[DecDate]]+$AF$39*Table_dat150_[[#This Row],[DecDate2]]</f>
        <v>6.7839771911383231</v>
      </c>
      <c r="N162" s="9">
        <f>Table_dat150_[[#This Row],[LogExpenditure]]-Table_dat150_[[#This Row],[Log Quadratic Trend]]</f>
        <v>-4.8197176895996563E-2</v>
      </c>
      <c r="O162" s="9">
        <f t="shared" si="5"/>
        <v>-2.0623979002827751E-3</v>
      </c>
      <c r="P162" s="9">
        <f>Table_dat150_[[#This Row],[Log Quadratic Trend]]+Table_dat150_[[#This Row],[Cycle]]</f>
        <v>6.7819147932380401</v>
      </c>
      <c r="Q162" s="9">
        <f>Table_dat150_[[#This Row],[LogExpenditure]]-Table_dat150_[[#This Row],[Log Quadratic Trend]]-Table_dat150_[[#This Row],[Cycle]]</f>
        <v>-4.613477899571379E-2</v>
      </c>
      <c r="R162" s="9">
        <f>AVERAGEIF(Table_dat150_[Quarter], B162, Table_dat150_[High Frequency])</f>
        <v>-4.2281954239907563E-2</v>
      </c>
      <c r="S162" s="9">
        <f>Table_dat150_[[#This Row],[S0]]-AVERAGE($R$6:$R$9)</f>
        <v>-4.2188413571464481E-2</v>
      </c>
    </row>
    <row r="163" spans="1:19" x14ac:dyDescent="0.3">
      <c r="A163">
        <v>1990</v>
      </c>
      <c r="B163">
        <v>2</v>
      </c>
      <c r="C163" s="1">
        <f>DATE(Table_dat150_[[#This Row],[Year]],(Table_dat150_[[#This Row],[Quarter]]-1)*3+2,15)</f>
        <v>33008</v>
      </c>
      <c r="D163">
        <f>Table_dat150_[[#This Row],[Year]]+1/8+(Table_dat150_[[#This Row],[Quarter]]-1)/4</f>
        <v>1990.375</v>
      </c>
      <c r="E163">
        <f>Table_dat150_[[#This Row],[DecDate]]^2</f>
        <v>3961592.640625</v>
      </c>
      <c r="F163">
        <v>896</v>
      </c>
      <c r="G163" s="8">
        <f>LN(Table_dat150_[[#This Row],[Expenditure]])</f>
        <v>6.7979404129749303</v>
      </c>
      <c r="H163" s="9">
        <f t="shared" si="4"/>
        <v>6.413301662707839E-2</v>
      </c>
      <c r="I163" s="9">
        <f>(1+Table_dat150_[[#This Row],[gt]])^4 -1</f>
        <v>0.2822823741991447</v>
      </c>
      <c r="J163" s="9">
        <f>$V$18+$V$19*Table_dat150_[[#This Row],[DecDate]]</f>
        <v>894.05183240038969</v>
      </c>
      <c r="K163" s="9">
        <f>$V$37+$V$38*Table_dat150_[[#This Row],[DecDate]]+$V$39*Table_dat150_[[#This Row],[DecDate2]]</f>
        <v>885.64314511741395</v>
      </c>
      <c r="L163" s="9">
        <f>$AF$18+$AF$19*Table_dat150_[[#This Row],[DecDate]]</f>
        <v>6.7879626063025986</v>
      </c>
      <c r="M163" s="9">
        <f>$AF$37+$AF$38*Table_dat150_[[#This Row],[DecDate]]+$AF$39*Table_dat150_[[#This Row],[DecDate2]]</f>
        <v>6.7854979897094019</v>
      </c>
      <c r="N163" s="9">
        <f>Table_dat150_[[#This Row],[LogExpenditure]]-Table_dat150_[[#This Row],[Log Quadratic Trend]]</f>
        <v>1.2442423265528468E-2</v>
      </c>
      <c r="O163" s="9">
        <f t="shared" si="5"/>
        <v>-1.4885638524029332E-2</v>
      </c>
      <c r="P163" s="9">
        <f>Table_dat150_[[#This Row],[Log Quadratic Trend]]+Table_dat150_[[#This Row],[Cycle]]</f>
        <v>6.7706123511853722</v>
      </c>
      <c r="Q163" s="9">
        <f>Table_dat150_[[#This Row],[LogExpenditure]]-Table_dat150_[[#This Row],[Log Quadratic Trend]]-Table_dat150_[[#This Row],[Cycle]]</f>
        <v>2.7328061789557802E-2</v>
      </c>
      <c r="R163" s="9">
        <f>AVERAGEIF(Table_dat150_[Quarter], B163, Table_dat150_[High Frequency])</f>
        <v>3.2923068860816217E-2</v>
      </c>
      <c r="S163" s="9">
        <f>Table_dat150_[[#This Row],[S0]]-AVERAGE($R$6:$R$9)</f>
        <v>3.3016609529259298E-2</v>
      </c>
    </row>
    <row r="164" spans="1:19" x14ac:dyDescent="0.3">
      <c r="A164">
        <v>1990</v>
      </c>
      <c r="B164">
        <v>3</v>
      </c>
      <c r="C164" s="1">
        <f>DATE(Table_dat150_[[#This Row],[Year]],(Table_dat150_[[#This Row],[Quarter]]-1)*3+2,15)</f>
        <v>33100</v>
      </c>
      <c r="D164">
        <f>Table_dat150_[[#This Row],[Year]]+1/8+(Table_dat150_[[#This Row],[Quarter]]-1)/4</f>
        <v>1990.625</v>
      </c>
      <c r="E164">
        <f>Table_dat150_[[#This Row],[DecDate]]^2</f>
        <v>3962587.890625</v>
      </c>
      <c r="F164">
        <v>907</v>
      </c>
      <c r="G164" s="8">
        <f>LN(Table_dat150_[[#This Row],[Expenditure]])</f>
        <v>6.8101424501151362</v>
      </c>
      <c r="H164" s="9">
        <f t="shared" si="4"/>
        <v>1.2276785714285714E-2</v>
      </c>
      <c r="I164" s="9">
        <f>(1+Table_dat150_[[#This Row],[gt]])^4 -1</f>
        <v>5.0018883780768908E-2</v>
      </c>
      <c r="J164" s="9">
        <f>$V$18+$V$19*Table_dat150_[[#This Row],[DecDate]]</f>
        <v>895.3574879442167</v>
      </c>
      <c r="K164" s="9">
        <f>$V$37+$V$38*Table_dat150_[[#This Row],[DecDate]]+$V$39*Table_dat150_[[#This Row],[DecDate2]]</f>
        <v>887.00184394957614</v>
      </c>
      <c r="L164" s="9">
        <f>$AF$18+$AF$19*Table_dat150_[[#This Row],[DecDate]]</f>
        <v>6.7894686350533737</v>
      </c>
      <c r="M164" s="9">
        <f>$AF$37+$AF$38*Table_dat150_[[#This Row],[DecDate]]+$AF$39*Table_dat150_[[#This Row],[DecDate2]]</f>
        <v>6.7870195656394472</v>
      </c>
      <c r="N164" s="9">
        <f>Table_dat150_[[#This Row],[LogExpenditure]]-Table_dat150_[[#This Row],[Log Quadratic Trend]]</f>
        <v>2.3122884475688998E-2</v>
      </c>
      <c r="O164" s="9">
        <f t="shared" si="5"/>
        <v>-1.7343984316555705E-2</v>
      </c>
      <c r="P164" s="9">
        <f>Table_dat150_[[#This Row],[Log Quadratic Trend]]+Table_dat150_[[#This Row],[Cycle]]</f>
        <v>6.7696755813228915</v>
      </c>
      <c r="Q164" s="9">
        <f>Table_dat150_[[#This Row],[LogExpenditure]]-Table_dat150_[[#This Row],[Log Quadratic Trend]]-Table_dat150_[[#This Row],[Cycle]]</f>
        <v>4.0466868792244703E-2</v>
      </c>
      <c r="R164" s="9">
        <f>AVERAGEIF(Table_dat150_[Quarter], B164, Table_dat150_[High Frequency])</f>
        <v>3.7456808917954526E-2</v>
      </c>
      <c r="S164" s="9">
        <f>Table_dat150_[[#This Row],[S0]]-AVERAGE($R$6:$R$9)</f>
        <v>3.7550349586397608E-2</v>
      </c>
    </row>
    <row r="165" spans="1:19" x14ac:dyDescent="0.3">
      <c r="A165">
        <v>1990</v>
      </c>
      <c r="B165">
        <v>4</v>
      </c>
      <c r="C165" s="1">
        <f>DATE(Table_dat150_[[#This Row],[Year]],(Table_dat150_[[#This Row],[Quarter]]-1)*3+2,15)</f>
        <v>33192</v>
      </c>
      <c r="D165">
        <f>Table_dat150_[[#This Row],[Year]]+1/8+(Table_dat150_[[#This Row],[Quarter]]-1)/4</f>
        <v>1990.875</v>
      </c>
      <c r="E165">
        <f>Table_dat150_[[#This Row],[DecDate]]^2</f>
        <v>3963583.265625</v>
      </c>
      <c r="F165">
        <v>860</v>
      </c>
      <c r="G165" s="8">
        <f>LN(Table_dat150_[[#This Row],[Expenditure]])</f>
        <v>6.7569323892475532</v>
      </c>
      <c r="H165" s="9">
        <f t="shared" si="4"/>
        <v>-5.1819184123484012E-2</v>
      </c>
      <c r="I165" s="9">
        <f>(1+Table_dat150_[[#This Row],[gt]])^4 -1</f>
        <v>-0.19171474425011059</v>
      </c>
      <c r="J165" s="9">
        <f>$V$18+$V$19*Table_dat150_[[#This Row],[DecDate]]</f>
        <v>896.6631434880419</v>
      </c>
      <c r="K165" s="9">
        <f>$V$37+$V$38*Table_dat150_[[#This Row],[DecDate]]+$V$39*Table_dat150_[[#This Row],[DecDate2]]</f>
        <v>888.363194946156</v>
      </c>
      <c r="L165" s="9">
        <f>$AF$18+$AF$19*Table_dat150_[[#This Row],[DecDate]]</f>
        <v>6.7909746638041488</v>
      </c>
      <c r="M165" s="9">
        <f>$AF$37+$AF$38*Table_dat150_[[#This Row],[DecDate]]+$AF$39*Table_dat150_[[#This Row],[DecDate2]]</f>
        <v>6.7885419189284519</v>
      </c>
      <c r="N165" s="9">
        <f>Table_dat150_[[#This Row],[LogExpenditure]]-Table_dat150_[[#This Row],[Log Quadratic Trend]]</f>
        <v>-3.1609529680898696E-2</v>
      </c>
      <c r="O165" s="9">
        <f t="shared" si="5"/>
        <v>-2.6751643350335641E-3</v>
      </c>
      <c r="P165" s="9">
        <f>Table_dat150_[[#This Row],[Log Quadratic Trend]]+Table_dat150_[[#This Row],[Cycle]]</f>
        <v>6.7858667545934184</v>
      </c>
      <c r="Q165" s="9">
        <f>Table_dat150_[[#This Row],[LogExpenditure]]-Table_dat150_[[#This Row],[Log Quadratic Trend]]-Table_dat150_[[#This Row],[Cycle]]</f>
        <v>-2.8934365345865132E-2</v>
      </c>
      <c r="R165" s="9">
        <f>AVERAGEIF(Table_dat150_[Quarter], B165, Table_dat150_[High Frequency])</f>
        <v>-2.8472086212635514E-2</v>
      </c>
      <c r="S165" s="9">
        <f>Table_dat150_[[#This Row],[S0]]-AVERAGE($R$6:$R$9)</f>
        <v>-2.8378545544192432E-2</v>
      </c>
    </row>
    <row r="166" spans="1:19" x14ac:dyDescent="0.3">
      <c r="A166">
        <v>1991</v>
      </c>
      <c r="B166">
        <v>1</v>
      </c>
      <c r="C166" s="1">
        <f>DATE(Table_dat150_[[#This Row],[Year]],(Table_dat150_[[#This Row],[Quarter]]-1)*3+2,15)</f>
        <v>33284</v>
      </c>
      <c r="D166">
        <f>Table_dat150_[[#This Row],[Year]]+1/8+(Table_dat150_[[#This Row],[Quarter]]-1)/4</f>
        <v>1991.125</v>
      </c>
      <c r="E166">
        <f>Table_dat150_[[#This Row],[DecDate]]^2</f>
        <v>3964578.765625</v>
      </c>
      <c r="F166">
        <v>852</v>
      </c>
      <c r="G166" s="8">
        <f>LN(Table_dat150_[[#This Row],[Expenditure]])</f>
        <v>6.7475865268293154</v>
      </c>
      <c r="H166" s="9">
        <f t="shared" si="4"/>
        <v>-9.3023255813953487E-3</v>
      </c>
      <c r="I166" s="9">
        <f>(1+Table_dat150_[[#This Row],[gt]])^4 -1</f>
        <v>-3.6693315112520275E-2</v>
      </c>
      <c r="J166" s="9">
        <f>$V$18+$V$19*Table_dat150_[[#This Row],[DecDate]]</f>
        <v>897.96879903186891</v>
      </c>
      <c r="K166" s="9">
        <f>$V$37+$V$38*Table_dat150_[[#This Row],[DecDate]]+$V$39*Table_dat150_[[#This Row],[DecDate2]]</f>
        <v>889.72719810715353</v>
      </c>
      <c r="L166" s="9">
        <f>$AF$18+$AF$19*Table_dat150_[[#This Row],[DecDate]]</f>
        <v>6.7924806925549257</v>
      </c>
      <c r="M166" s="9">
        <f>$AF$37+$AF$38*Table_dat150_[[#This Row],[DecDate]]+$AF$39*Table_dat150_[[#This Row],[DecDate2]]</f>
        <v>6.7900650495764161</v>
      </c>
      <c r="N166" s="9">
        <f>Table_dat150_[[#This Row],[LogExpenditure]]-Table_dat150_[[#This Row],[Log Quadratic Trend]]</f>
        <v>-4.2478522747100733E-2</v>
      </c>
      <c r="O166" s="9">
        <f t="shared" si="5"/>
        <v>6.026878948702752E-3</v>
      </c>
      <c r="P166" s="9">
        <f>Table_dat150_[[#This Row],[Log Quadratic Trend]]+Table_dat150_[[#This Row],[Cycle]]</f>
        <v>6.7960919285251187</v>
      </c>
      <c r="Q166" s="9">
        <f>Table_dat150_[[#This Row],[LogExpenditure]]-Table_dat150_[[#This Row],[Log Quadratic Trend]]-Table_dat150_[[#This Row],[Cycle]]</f>
        <v>-4.8505401695803488E-2</v>
      </c>
      <c r="R166" s="9">
        <f>AVERAGEIF(Table_dat150_[Quarter], B166, Table_dat150_[High Frequency])</f>
        <v>-4.2281954239907563E-2</v>
      </c>
      <c r="S166" s="9">
        <f>Table_dat150_[[#This Row],[S0]]-AVERAGE($R$6:$R$9)</f>
        <v>-4.2188413571464481E-2</v>
      </c>
    </row>
    <row r="167" spans="1:19" x14ac:dyDescent="0.3">
      <c r="A167">
        <v>1991</v>
      </c>
      <c r="B167">
        <v>2</v>
      </c>
      <c r="C167" s="1">
        <f>DATE(Table_dat150_[[#This Row],[Year]],(Table_dat150_[[#This Row],[Quarter]]-1)*3+2,15)</f>
        <v>33373</v>
      </c>
      <c r="D167">
        <f>Table_dat150_[[#This Row],[Year]]+1/8+(Table_dat150_[[#This Row],[Quarter]]-1)/4</f>
        <v>1991.375</v>
      </c>
      <c r="E167">
        <f>Table_dat150_[[#This Row],[DecDate]]^2</f>
        <v>3965574.390625</v>
      </c>
      <c r="F167">
        <v>913</v>
      </c>
      <c r="G167" s="8">
        <f>LN(Table_dat150_[[#This Row],[Expenditure]])</f>
        <v>6.816735880594968</v>
      </c>
      <c r="H167" s="9">
        <f t="shared" si="4"/>
        <v>7.1596244131455405E-2</v>
      </c>
      <c r="I167" s="9">
        <f>(1+Table_dat150_[[#This Row],[gt]])^4 -1</f>
        <v>0.31863540141142832</v>
      </c>
      <c r="J167" s="9">
        <f>$V$18+$V$19*Table_dat150_[[#This Row],[DecDate]]</f>
        <v>899.27445457569593</v>
      </c>
      <c r="K167" s="9">
        <f>$V$37+$V$38*Table_dat150_[[#This Row],[DecDate]]+$V$39*Table_dat150_[[#This Row],[DecDate2]]</f>
        <v>891.09385343256872</v>
      </c>
      <c r="L167" s="9">
        <f>$AF$18+$AF$19*Table_dat150_[[#This Row],[DecDate]]</f>
        <v>6.7939867213057008</v>
      </c>
      <c r="M167" s="9">
        <f>$AF$37+$AF$38*Table_dat150_[[#This Row],[DecDate]]+$AF$39*Table_dat150_[[#This Row],[DecDate2]]</f>
        <v>6.7915889575833539</v>
      </c>
      <c r="N167" s="9">
        <f>Table_dat150_[[#This Row],[LogExpenditure]]-Table_dat150_[[#This Row],[Log Quadratic Trend]]</f>
        <v>2.5146923011614142E-2</v>
      </c>
      <c r="O167" s="9">
        <f t="shared" si="5"/>
        <v>-4.979617694879401E-3</v>
      </c>
      <c r="P167" s="9">
        <f>Table_dat150_[[#This Row],[Log Quadratic Trend]]+Table_dat150_[[#This Row],[Cycle]]</f>
        <v>6.7866093398884741</v>
      </c>
      <c r="Q167" s="9">
        <f>Table_dat150_[[#This Row],[LogExpenditure]]-Table_dat150_[[#This Row],[Log Quadratic Trend]]-Table_dat150_[[#This Row],[Cycle]]</f>
        <v>3.0126540706493544E-2</v>
      </c>
      <c r="R167" s="9">
        <f>AVERAGEIF(Table_dat150_[Quarter], B167, Table_dat150_[High Frequency])</f>
        <v>3.2923068860816217E-2</v>
      </c>
      <c r="S167" s="9">
        <f>Table_dat150_[[#This Row],[S0]]-AVERAGE($R$6:$R$9)</f>
        <v>3.3016609529259298E-2</v>
      </c>
    </row>
    <row r="168" spans="1:19" x14ac:dyDescent="0.3">
      <c r="A168">
        <v>1991</v>
      </c>
      <c r="B168">
        <v>3</v>
      </c>
      <c r="C168" s="1">
        <f>DATE(Table_dat150_[[#This Row],[Year]],(Table_dat150_[[#This Row],[Quarter]]-1)*3+2,15)</f>
        <v>33465</v>
      </c>
      <c r="D168">
        <f>Table_dat150_[[#This Row],[Year]]+1/8+(Table_dat150_[[#This Row],[Quarter]]-1)/4</f>
        <v>1991.625</v>
      </c>
      <c r="E168">
        <f>Table_dat150_[[#This Row],[DecDate]]^2</f>
        <v>3966570.140625</v>
      </c>
      <c r="F168">
        <v>943</v>
      </c>
      <c r="G168" s="8">
        <f>LN(Table_dat150_[[#This Row],[Expenditure]])</f>
        <v>6.8490662826334576</v>
      </c>
      <c r="H168" s="9">
        <f t="shared" si="4"/>
        <v>3.2858707557502739E-2</v>
      </c>
      <c r="I168" s="9">
        <f>(1+Table_dat150_[[#This Row],[gt]])^4 -1</f>
        <v>0.13805607342931747</v>
      </c>
      <c r="J168" s="9">
        <f>$V$18+$V$19*Table_dat150_[[#This Row],[DecDate]]</f>
        <v>900.58011011952294</v>
      </c>
      <c r="K168" s="9">
        <f>$V$37+$V$38*Table_dat150_[[#This Row],[DecDate]]+$V$39*Table_dat150_[[#This Row],[DecDate2]]</f>
        <v>892.46316092240158</v>
      </c>
      <c r="L168" s="9">
        <f>$AF$18+$AF$19*Table_dat150_[[#This Row],[DecDate]]</f>
        <v>6.7954927500564759</v>
      </c>
      <c r="M168" s="9">
        <f>$AF$37+$AF$38*Table_dat150_[[#This Row],[DecDate]]+$AF$39*Table_dat150_[[#This Row],[DecDate2]]</f>
        <v>6.7931136429492476</v>
      </c>
      <c r="N168" s="9">
        <f>Table_dat150_[[#This Row],[LogExpenditure]]-Table_dat150_[[#This Row],[Log Quadratic Trend]]</f>
        <v>5.5952639684210048E-2</v>
      </c>
      <c r="O168" s="9">
        <f t="shared" si="5"/>
        <v>-1.2257407894932016E-3</v>
      </c>
      <c r="P168" s="9">
        <f>Table_dat150_[[#This Row],[Log Quadratic Trend]]+Table_dat150_[[#This Row],[Cycle]]</f>
        <v>6.791887902159754</v>
      </c>
      <c r="Q168" s="9">
        <f>Table_dat150_[[#This Row],[LogExpenditure]]-Table_dat150_[[#This Row],[Log Quadratic Trend]]-Table_dat150_[[#This Row],[Cycle]]</f>
        <v>5.7178380473703251E-2</v>
      </c>
      <c r="R168" s="9">
        <f>AVERAGEIF(Table_dat150_[Quarter], B168, Table_dat150_[High Frequency])</f>
        <v>3.7456808917954526E-2</v>
      </c>
      <c r="S168" s="9">
        <f>Table_dat150_[[#This Row],[S0]]-AVERAGE($R$6:$R$9)</f>
        <v>3.7550349586397608E-2</v>
      </c>
    </row>
    <row r="169" spans="1:19" x14ac:dyDescent="0.3">
      <c r="A169">
        <v>1991</v>
      </c>
      <c r="B169">
        <v>4</v>
      </c>
      <c r="C169" s="1">
        <f>DATE(Table_dat150_[[#This Row],[Year]],(Table_dat150_[[#This Row],[Quarter]]-1)*3+2,15)</f>
        <v>33557</v>
      </c>
      <c r="D169">
        <f>Table_dat150_[[#This Row],[Year]]+1/8+(Table_dat150_[[#This Row],[Quarter]]-1)/4</f>
        <v>1991.875</v>
      </c>
      <c r="E169">
        <f>Table_dat150_[[#This Row],[DecDate]]^2</f>
        <v>3967566.015625</v>
      </c>
      <c r="F169">
        <v>865</v>
      </c>
      <c r="G169" s="8">
        <f>LN(Table_dat150_[[#This Row],[Expenditure]])</f>
        <v>6.7627295069318789</v>
      </c>
      <c r="H169" s="9">
        <f t="shared" si="4"/>
        <v>-8.2714740190880168E-2</v>
      </c>
      <c r="I169" s="9">
        <f>(1+Table_dat150_[[#This Row],[gt]])^4 -1</f>
        <v>-0.29202542914599139</v>
      </c>
      <c r="J169" s="9">
        <f>$V$18+$V$19*Table_dat150_[[#This Row],[DecDate]]</f>
        <v>901.88576566334814</v>
      </c>
      <c r="K169" s="9">
        <f>$V$37+$V$38*Table_dat150_[[#This Row],[DecDate]]+$V$39*Table_dat150_[[#This Row],[DecDate2]]</f>
        <v>893.83512057663756</v>
      </c>
      <c r="L169" s="9">
        <f>$AF$18+$AF$19*Table_dat150_[[#This Row],[DecDate]]</f>
        <v>6.796998778807251</v>
      </c>
      <c r="M169" s="9">
        <f>$AF$37+$AF$38*Table_dat150_[[#This Row],[DecDate]]+$AF$39*Table_dat150_[[#This Row],[DecDate2]]</f>
        <v>6.7946391056741007</v>
      </c>
      <c r="N169" s="9">
        <f>Table_dat150_[[#This Row],[LogExpenditure]]-Table_dat150_[[#This Row],[Log Quadratic Trend]]</f>
        <v>-3.1909598742221768E-2</v>
      </c>
      <c r="O169" s="9">
        <f t="shared" si="5"/>
        <v>9.3184798597700791E-3</v>
      </c>
      <c r="P169" s="9">
        <f>Table_dat150_[[#This Row],[Log Quadratic Trend]]+Table_dat150_[[#This Row],[Cycle]]</f>
        <v>6.8039575855338708</v>
      </c>
      <c r="Q169" s="9">
        <f>Table_dat150_[[#This Row],[LogExpenditure]]-Table_dat150_[[#This Row],[Log Quadratic Trend]]-Table_dat150_[[#This Row],[Cycle]]</f>
        <v>-4.1228078601991847E-2</v>
      </c>
      <c r="R169" s="9">
        <f>AVERAGEIF(Table_dat150_[Quarter], B169, Table_dat150_[High Frequency])</f>
        <v>-2.8472086212635514E-2</v>
      </c>
      <c r="S169" s="9">
        <f>Table_dat150_[[#This Row],[S0]]-AVERAGE($R$6:$R$9)</f>
        <v>-2.8378545544192432E-2</v>
      </c>
    </row>
    <row r="170" spans="1:19" x14ac:dyDescent="0.3">
      <c r="A170">
        <v>1992</v>
      </c>
      <c r="B170">
        <v>1</v>
      </c>
      <c r="C170" s="1">
        <f>DATE(Table_dat150_[[#This Row],[Year]],(Table_dat150_[[#This Row],[Quarter]]-1)*3+2,15)</f>
        <v>33649</v>
      </c>
      <c r="D170">
        <f>Table_dat150_[[#This Row],[Year]]+1/8+(Table_dat150_[[#This Row],[Quarter]]-1)/4</f>
        <v>1992.125</v>
      </c>
      <c r="E170">
        <f>Table_dat150_[[#This Row],[DecDate]]^2</f>
        <v>3968562.015625</v>
      </c>
      <c r="F170">
        <v>883</v>
      </c>
      <c r="G170" s="8">
        <f>LN(Table_dat150_[[#This Row],[Expenditure]])</f>
        <v>6.7833252006039597</v>
      </c>
      <c r="H170" s="9">
        <f t="shared" si="4"/>
        <v>2.0809248554913295E-2</v>
      </c>
      <c r="I170" s="9">
        <f>(1+Table_dat150_[[#This Row],[gt]])^4 -1</f>
        <v>8.5871374367564313E-2</v>
      </c>
      <c r="J170" s="9">
        <f>$V$18+$V$19*Table_dat150_[[#This Row],[DecDate]]</f>
        <v>903.19142120717515</v>
      </c>
      <c r="K170" s="9">
        <f>$V$37+$V$38*Table_dat150_[[#This Row],[DecDate]]+$V$39*Table_dat150_[[#This Row],[DecDate2]]</f>
        <v>895.20973239527666</v>
      </c>
      <c r="L170" s="9">
        <f>$AF$18+$AF$19*Table_dat150_[[#This Row],[DecDate]]</f>
        <v>6.7985048075580261</v>
      </c>
      <c r="M170" s="9">
        <f>$AF$37+$AF$38*Table_dat150_[[#This Row],[DecDate]]+$AF$39*Table_dat150_[[#This Row],[DecDate2]]</f>
        <v>6.7961653457579274</v>
      </c>
      <c r="N170" s="9">
        <f>Table_dat150_[[#This Row],[LogExpenditure]]-Table_dat150_[[#This Row],[Log Quadratic Trend]]</f>
        <v>-1.2840145153967697E-2</v>
      </c>
      <c r="O170" s="9">
        <f t="shared" si="5"/>
        <v>9.3197976655726936E-3</v>
      </c>
      <c r="P170" s="9">
        <f>Table_dat150_[[#This Row],[Log Quadratic Trend]]+Table_dat150_[[#This Row],[Cycle]]</f>
        <v>6.8054851434234997</v>
      </c>
      <c r="Q170" s="9">
        <f>Table_dat150_[[#This Row],[LogExpenditure]]-Table_dat150_[[#This Row],[Log Quadratic Trend]]-Table_dat150_[[#This Row],[Cycle]]</f>
        <v>-2.2159942819540389E-2</v>
      </c>
      <c r="R170" s="9">
        <f>AVERAGEIF(Table_dat150_[Quarter], B170, Table_dat150_[High Frequency])</f>
        <v>-4.2281954239907563E-2</v>
      </c>
      <c r="S170" s="9">
        <f>Table_dat150_[[#This Row],[S0]]-AVERAGE($R$6:$R$9)</f>
        <v>-4.2188413571464481E-2</v>
      </c>
    </row>
    <row r="171" spans="1:19" x14ac:dyDescent="0.3">
      <c r="A171">
        <v>1992</v>
      </c>
      <c r="B171">
        <v>2</v>
      </c>
      <c r="C171" s="1">
        <f>DATE(Table_dat150_[[#This Row],[Year]],(Table_dat150_[[#This Row],[Quarter]]-1)*3+2,15)</f>
        <v>33739</v>
      </c>
      <c r="D171">
        <f>Table_dat150_[[#This Row],[Year]]+1/8+(Table_dat150_[[#This Row],[Quarter]]-1)/4</f>
        <v>1992.375</v>
      </c>
      <c r="E171">
        <f>Table_dat150_[[#This Row],[DecDate]]^2</f>
        <v>3969558.140625</v>
      </c>
      <c r="F171">
        <v>905</v>
      </c>
      <c r="G171" s="8">
        <f>LN(Table_dat150_[[#This Row],[Expenditure]])</f>
        <v>6.8079349436999257</v>
      </c>
      <c r="H171" s="9">
        <f t="shared" si="4"/>
        <v>2.491506228765572E-2</v>
      </c>
      <c r="I171" s="9">
        <f>(1+Table_dat150_[[#This Row],[gt]])^4 -1</f>
        <v>0.10344706159582606</v>
      </c>
      <c r="J171" s="9">
        <f>$V$18+$V$19*Table_dat150_[[#This Row],[DecDate]]</f>
        <v>904.49707675100217</v>
      </c>
      <c r="K171" s="9">
        <f>$V$37+$V$38*Table_dat150_[[#This Row],[DecDate]]+$V$39*Table_dat150_[[#This Row],[DecDate2]]</f>
        <v>896.58699637836253</v>
      </c>
      <c r="L171" s="9">
        <f>$AF$18+$AF$19*Table_dat150_[[#This Row],[DecDate]]</f>
        <v>6.8000108363088012</v>
      </c>
      <c r="M171" s="9">
        <f>$AF$37+$AF$38*Table_dat150_[[#This Row],[DecDate]]+$AF$39*Table_dat150_[[#This Row],[DecDate2]]</f>
        <v>6.79769236320071</v>
      </c>
      <c r="N171" s="9">
        <f>Table_dat150_[[#This Row],[LogExpenditure]]-Table_dat150_[[#This Row],[Log Quadratic Trend]]</f>
        <v>1.024258049921567E-2</v>
      </c>
      <c r="O171" s="9">
        <f t="shared" si="5"/>
        <v>1.1075217109633329E-3</v>
      </c>
      <c r="P171" s="9">
        <f>Table_dat150_[[#This Row],[Log Quadratic Trend]]+Table_dat150_[[#This Row],[Cycle]]</f>
        <v>6.7987998849116735</v>
      </c>
      <c r="Q171" s="9">
        <f>Table_dat150_[[#This Row],[LogExpenditure]]-Table_dat150_[[#This Row],[Log Quadratic Trend]]-Table_dat150_[[#This Row],[Cycle]]</f>
        <v>9.1350587882523364E-3</v>
      </c>
      <c r="R171" s="9">
        <f>AVERAGEIF(Table_dat150_[Quarter], B171, Table_dat150_[High Frequency])</f>
        <v>3.2923068860816217E-2</v>
      </c>
      <c r="S171" s="9">
        <f>Table_dat150_[[#This Row],[S0]]-AVERAGE($R$6:$R$9)</f>
        <v>3.3016609529259298E-2</v>
      </c>
    </row>
    <row r="172" spans="1:19" x14ac:dyDescent="0.3">
      <c r="A172">
        <v>1992</v>
      </c>
      <c r="B172">
        <v>3</v>
      </c>
      <c r="C172" s="1">
        <f>DATE(Table_dat150_[[#This Row],[Year]],(Table_dat150_[[#This Row],[Quarter]]-1)*3+2,15)</f>
        <v>33831</v>
      </c>
      <c r="D172">
        <f>Table_dat150_[[#This Row],[Year]]+1/8+(Table_dat150_[[#This Row],[Quarter]]-1)/4</f>
        <v>1992.625</v>
      </c>
      <c r="E172">
        <f>Table_dat150_[[#This Row],[DecDate]]^2</f>
        <v>3970554.390625</v>
      </c>
      <c r="F172">
        <v>920</v>
      </c>
      <c r="G172" s="8">
        <f>LN(Table_dat150_[[#This Row],[Expenditure]])</f>
        <v>6.8243736700430864</v>
      </c>
      <c r="H172" s="9">
        <f t="shared" si="4"/>
        <v>1.6574585635359115E-2</v>
      </c>
      <c r="I172" s="9">
        <f>(1+Table_dat150_[[#This Row],[gt]])^4 -1</f>
        <v>6.7964932619116736E-2</v>
      </c>
      <c r="J172" s="9">
        <f>$V$18+$V$19*Table_dat150_[[#This Row],[DecDate]]</f>
        <v>905.80273229482736</v>
      </c>
      <c r="K172" s="9">
        <f>$V$37+$V$38*Table_dat150_[[#This Row],[DecDate]]+$V$39*Table_dat150_[[#This Row],[DecDate2]]</f>
        <v>897.96691252585151</v>
      </c>
      <c r="L172" s="9">
        <f>$AF$18+$AF$19*Table_dat150_[[#This Row],[DecDate]]</f>
        <v>6.8015168650595781</v>
      </c>
      <c r="M172" s="9">
        <f>$AF$37+$AF$38*Table_dat150_[[#This Row],[DecDate]]+$AF$39*Table_dat150_[[#This Row],[DecDate2]]</f>
        <v>6.7992201580024592</v>
      </c>
      <c r="N172" s="9">
        <f>Table_dat150_[[#This Row],[LogExpenditure]]-Table_dat150_[[#This Row],[Log Quadratic Trend]]</f>
        <v>2.5153512040627213E-2</v>
      </c>
      <c r="O172" s="9">
        <f t="shared" si="5"/>
        <v>2.563144249861793E-3</v>
      </c>
      <c r="P172" s="9">
        <f>Table_dat150_[[#This Row],[Log Quadratic Trend]]+Table_dat150_[[#This Row],[Cycle]]</f>
        <v>6.8017833022523213</v>
      </c>
      <c r="Q172" s="9">
        <f>Table_dat150_[[#This Row],[LogExpenditure]]-Table_dat150_[[#This Row],[Log Quadratic Trend]]-Table_dat150_[[#This Row],[Cycle]]</f>
        <v>2.2590367790765419E-2</v>
      </c>
      <c r="R172" s="9">
        <f>AVERAGEIF(Table_dat150_[Quarter], B172, Table_dat150_[High Frequency])</f>
        <v>3.7456808917954526E-2</v>
      </c>
      <c r="S172" s="9">
        <f>Table_dat150_[[#This Row],[S0]]-AVERAGE($R$6:$R$9)</f>
        <v>3.7550349586397608E-2</v>
      </c>
    </row>
    <row r="173" spans="1:19" x14ac:dyDescent="0.3">
      <c r="A173">
        <v>1992</v>
      </c>
      <c r="B173">
        <v>4</v>
      </c>
      <c r="C173" s="1">
        <f>DATE(Table_dat150_[[#This Row],[Year]],(Table_dat150_[[#This Row],[Quarter]]-1)*3+2,15)</f>
        <v>33923</v>
      </c>
      <c r="D173">
        <f>Table_dat150_[[#This Row],[Year]]+1/8+(Table_dat150_[[#This Row],[Quarter]]-1)/4</f>
        <v>1992.875</v>
      </c>
      <c r="E173">
        <f>Table_dat150_[[#This Row],[DecDate]]^2</f>
        <v>3971550.765625</v>
      </c>
      <c r="F173">
        <v>912</v>
      </c>
      <c r="G173" s="8">
        <f>LN(Table_dat150_[[#This Row],[Expenditure]])</f>
        <v>6.815639990074331</v>
      </c>
      <c r="H173" s="9">
        <f t="shared" si="4"/>
        <v>-8.6956521739130436E-3</v>
      </c>
      <c r="I173" s="9">
        <f>(1+Table_dat150_[[#This Row],[gt]])^4 -1</f>
        <v>-3.4331546842671257E-2</v>
      </c>
      <c r="J173" s="9">
        <f>$V$18+$V$19*Table_dat150_[[#This Row],[DecDate]]</f>
        <v>907.10838783865438</v>
      </c>
      <c r="K173" s="9">
        <f>$V$37+$V$38*Table_dat150_[[#This Row],[DecDate]]+$V$39*Table_dat150_[[#This Row],[DecDate2]]</f>
        <v>899.34948083777272</v>
      </c>
      <c r="L173" s="9">
        <f>$AF$18+$AF$19*Table_dat150_[[#This Row],[DecDate]]</f>
        <v>6.8030228938103532</v>
      </c>
      <c r="M173" s="9">
        <f>$AF$37+$AF$38*Table_dat150_[[#This Row],[DecDate]]+$AF$39*Table_dat150_[[#This Row],[DecDate2]]</f>
        <v>6.8007487301631677</v>
      </c>
      <c r="N173" s="9">
        <f>Table_dat150_[[#This Row],[LogExpenditure]]-Table_dat150_[[#This Row],[Log Quadratic Trend]]</f>
        <v>1.4891259911163246E-2</v>
      </c>
      <c r="O173" s="9">
        <f t="shared" si="5"/>
        <v>1.0760245081529441E-2</v>
      </c>
      <c r="P173" s="9">
        <f>Table_dat150_[[#This Row],[Log Quadratic Trend]]+Table_dat150_[[#This Row],[Cycle]]</f>
        <v>6.8115089752446973</v>
      </c>
      <c r="Q173" s="9">
        <f>Table_dat150_[[#This Row],[LogExpenditure]]-Table_dat150_[[#This Row],[Log Quadratic Trend]]-Table_dat150_[[#This Row],[Cycle]]</f>
        <v>4.1310148296338049E-3</v>
      </c>
      <c r="R173" s="9">
        <f>AVERAGEIF(Table_dat150_[Quarter], B173, Table_dat150_[High Frequency])</f>
        <v>-2.8472086212635514E-2</v>
      </c>
      <c r="S173" s="9">
        <f>Table_dat150_[[#This Row],[S0]]-AVERAGE($R$6:$R$9)</f>
        <v>-2.8378545544192432E-2</v>
      </c>
    </row>
    <row r="174" spans="1:19" x14ac:dyDescent="0.3">
      <c r="A174">
        <v>1993</v>
      </c>
      <c r="B174">
        <v>1</v>
      </c>
      <c r="C174" s="1">
        <f>DATE(Table_dat150_[[#This Row],[Year]],(Table_dat150_[[#This Row],[Quarter]]-1)*3+2,15)</f>
        <v>34015</v>
      </c>
      <c r="D174">
        <f>Table_dat150_[[#This Row],[Year]]+1/8+(Table_dat150_[[#This Row],[Quarter]]-1)/4</f>
        <v>1993.125</v>
      </c>
      <c r="E174">
        <f>Table_dat150_[[#This Row],[DecDate]]^2</f>
        <v>3972547.265625</v>
      </c>
      <c r="F174">
        <v>878</v>
      </c>
      <c r="G174" s="8">
        <f>LN(Table_dat150_[[#This Row],[Expenditure]])</f>
        <v>6.7776465936351169</v>
      </c>
      <c r="H174" s="9">
        <f t="shared" si="4"/>
        <v>-3.7280701754385963E-2</v>
      </c>
      <c r="I174" s="9">
        <f>(1+Table_dat150_[[#This Row],[gt]])^4 -1</f>
        <v>-0.14098902943390756</v>
      </c>
      <c r="J174" s="9">
        <f>$V$18+$V$19*Table_dat150_[[#This Row],[DecDate]]</f>
        <v>908.4140433824814</v>
      </c>
      <c r="K174" s="9">
        <f>$V$37+$V$38*Table_dat150_[[#This Row],[DecDate]]+$V$39*Table_dat150_[[#This Row],[DecDate2]]</f>
        <v>900.73470131409704</v>
      </c>
      <c r="L174" s="9">
        <f>$AF$18+$AF$19*Table_dat150_[[#This Row],[DecDate]]</f>
        <v>6.8045289225611283</v>
      </c>
      <c r="M174" s="9">
        <f>$AF$37+$AF$38*Table_dat150_[[#This Row],[DecDate]]+$AF$39*Table_dat150_[[#This Row],[DecDate2]]</f>
        <v>6.8022780796828464</v>
      </c>
      <c r="N174" s="9">
        <f>Table_dat150_[[#This Row],[LogExpenditure]]-Table_dat150_[[#This Row],[Log Quadratic Trend]]</f>
        <v>-2.4631486047729467E-2</v>
      </c>
      <c r="O174" s="9">
        <f t="shared" si="5"/>
        <v>1.3386321150206725E-2</v>
      </c>
      <c r="P174" s="9">
        <f>Table_dat150_[[#This Row],[Log Quadratic Trend]]+Table_dat150_[[#This Row],[Cycle]]</f>
        <v>6.8156644008330529</v>
      </c>
      <c r="Q174" s="9">
        <f>Table_dat150_[[#This Row],[LogExpenditure]]-Table_dat150_[[#This Row],[Log Quadratic Trend]]-Table_dat150_[[#This Row],[Cycle]]</f>
        <v>-3.8017807197936196E-2</v>
      </c>
      <c r="R174" s="9">
        <f>AVERAGEIF(Table_dat150_[Quarter], B174, Table_dat150_[High Frequency])</f>
        <v>-4.2281954239907563E-2</v>
      </c>
      <c r="S174" s="9">
        <f>Table_dat150_[[#This Row],[S0]]-AVERAGE($R$6:$R$9)</f>
        <v>-4.2188413571464481E-2</v>
      </c>
    </row>
    <row r="175" spans="1:19" x14ac:dyDescent="0.3">
      <c r="A175">
        <v>1993</v>
      </c>
      <c r="B175">
        <v>2</v>
      </c>
      <c r="C175" s="1">
        <f>DATE(Table_dat150_[[#This Row],[Year]],(Table_dat150_[[#This Row],[Quarter]]-1)*3+2,15)</f>
        <v>34104</v>
      </c>
      <c r="D175">
        <f>Table_dat150_[[#This Row],[Year]]+1/8+(Table_dat150_[[#This Row],[Quarter]]-1)/4</f>
        <v>1993.375</v>
      </c>
      <c r="E175">
        <f>Table_dat150_[[#This Row],[DecDate]]^2</f>
        <v>3973543.890625</v>
      </c>
      <c r="F175">
        <v>927</v>
      </c>
      <c r="G175" s="8">
        <f>LN(Table_dat150_[[#This Row],[Expenditure]])</f>
        <v>6.831953565565855</v>
      </c>
      <c r="H175" s="9">
        <f t="shared" si="4"/>
        <v>5.5808656036446469E-2</v>
      </c>
      <c r="I175" s="9">
        <f>(1+Table_dat150_[[#This Row],[gt]])^4 -1</f>
        <v>0.24262724936798863</v>
      </c>
      <c r="J175" s="9">
        <f>$V$18+$V$19*Table_dat150_[[#This Row],[DecDate]]</f>
        <v>909.71969892630659</v>
      </c>
      <c r="K175" s="9">
        <f>$V$37+$V$38*Table_dat150_[[#This Row],[DecDate]]+$V$39*Table_dat150_[[#This Row],[DecDate2]]</f>
        <v>902.12257395483903</v>
      </c>
      <c r="L175" s="9">
        <f>$AF$18+$AF$19*Table_dat150_[[#This Row],[DecDate]]</f>
        <v>6.8060349513119034</v>
      </c>
      <c r="M175" s="9">
        <f>$AF$37+$AF$38*Table_dat150_[[#This Row],[DecDate]]+$AF$39*Table_dat150_[[#This Row],[DecDate2]]</f>
        <v>6.8038082065614844</v>
      </c>
      <c r="N175" s="9">
        <f>Table_dat150_[[#This Row],[LogExpenditure]]-Table_dat150_[[#This Row],[Log Quadratic Trend]]</f>
        <v>2.814535900437054E-2</v>
      </c>
      <c r="O175" s="9">
        <f t="shared" si="5"/>
        <v>5.4503457571124514E-3</v>
      </c>
      <c r="P175" s="9">
        <f>Table_dat150_[[#This Row],[Log Quadratic Trend]]+Table_dat150_[[#This Row],[Cycle]]</f>
        <v>6.8092585523185969</v>
      </c>
      <c r="Q175" s="9">
        <f>Table_dat150_[[#This Row],[LogExpenditure]]-Table_dat150_[[#This Row],[Log Quadratic Trend]]-Table_dat150_[[#This Row],[Cycle]]</f>
        <v>2.2695013247258089E-2</v>
      </c>
      <c r="R175" s="9">
        <f>AVERAGEIF(Table_dat150_[Quarter], B175, Table_dat150_[High Frequency])</f>
        <v>3.2923068860816217E-2</v>
      </c>
      <c r="S175" s="9">
        <f>Table_dat150_[[#This Row],[S0]]-AVERAGE($R$6:$R$9)</f>
        <v>3.3016609529259298E-2</v>
      </c>
    </row>
    <row r="176" spans="1:19" x14ac:dyDescent="0.3">
      <c r="A176">
        <v>1993</v>
      </c>
      <c r="B176">
        <v>3</v>
      </c>
      <c r="C176" s="1">
        <f>DATE(Table_dat150_[[#This Row],[Year]],(Table_dat150_[[#This Row],[Quarter]]-1)*3+2,15)</f>
        <v>34196</v>
      </c>
      <c r="D176">
        <f>Table_dat150_[[#This Row],[Year]]+1/8+(Table_dat150_[[#This Row],[Quarter]]-1)/4</f>
        <v>1993.625</v>
      </c>
      <c r="E176">
        <f>Table_dat150_[[#This Row],[DecDate]]^2</f>
        <v>3974540.640625</v>
      </c>
      <c r="F176">
        <v>924</v>
      </c>
      <c r="G176" s="8">
        <f>LN(Table_dat150_[[#This Row],[Expenditure]])</f>
        <v>6.828712071641684</v>
      </c>
      <c r="H176" s="9">
        <f t="shared" si="4"/>
        <v>-3.2362459546925568E-3</v>
      </c>
      <c r="I176" s="9">
        <f>(1+Table_dat150_[[#This Row],[gt]])^4 -1</f>
        <v>-1.2882279558346865E-2</v>
      </c>
      <c r="J176" s="9">
        <f>$V$18+$V$19*Table_dat150_[[#This Row],[DecDate]]</f>
        <v>911.02535447013361</v>
      </c>
      <c r="K176" s="9">
        <f>$V$37+$V$38*Table_dat150_[[#This Row],[DecDate]]+$V$39*Table_dat150_[[#This Row],[DecDate2]]</f>
        <v>903.51309875998413</v>
      </c>
      <c r="L176" s="9">
        <f>$AF$18+$AF$19*Table_dat150_[[#This Row],[DecDate]]</f>
        <v>6.8075409800626785</v>
      </c>
      <c r="M176" s="9">
        <f>$AF$37+$AF$38*Table_dat150_[[#This Row],[DecDate]]+$AF$39*Table_dat150_[[#This Row],[DecDate2]]</f>
        <v>6.8053391107990819</v>
      </c>
      <c r="N176" s="9">
        <f>Table_dat150_[[#This Row],[LogExpenditure]]-Table_dat150_[[#This Row],[Log Quadratic Trend]]</f>
        <v>2.3372960842602097E-2</v>
      </c>
      <c r="O176" s="9">
        <f t="shared" si="5"/>
        <v>-4.3637792238333971E-3</v>
      </c>
      <c r="P176" s="9">
        <f>Table_dat150_[[#This Row],[Log Quadratic Trend]]+Table_dat150_[[#This Row],[Cycle]]</f>
        <v>6.8009753315752484</v>
      </c>
      <c r="Q176" s="9">
        <f>Table_dat150_[[#This Row],[LogExpenditure]]-Table_dat150_[[#This Row],[Log Quadratic Trend]]-Table_dat150_[[#This Row],[Cycle]]</f>
        <v>2.7736740066435495E-2</v>
      </c>
      <c r="R176" s="9">
        <f>AVERAGEIF(Table_dat150_[Quarter], B176, Table_dat150_[High Frequency])</f>
        <v>3.7456808917954526E-2</v>
      </c>
      <c r="S176" s="9">
        <f>Table_dat150_[[#This Row],[S0]]-AVERAGE($R$6:$R$9)</f>
        <v>3.7550349586397608E-2</v>
      </c>
    </row>
    <row r="177" spans="1:19" x14ac:dyDescent="0.3">
      <c r="A177">
        <v>1993</v>
      </c>
      <c r="B177">
        <v>4</v>
      </c>
      <c r="C177" s="1">
        <f>DATE(Table_dat150_[[#This Row],[Year]],(Table_dat150_[[#This Row],[Quarter]]-1)*3+2,15)</f>
        <v>34288</v>
      </c>
      <c r="D177">
        <f>Table_dat150_[[#This Row],[Year]]+1/8+(Table_dat150_[[#This Row],[Quarter]]-1)/4</f>
        <v>1993.875</v>
      </c>
      <c r="E177">
        <f>Table_dat150_[[#This Row],[DecDate]]^2</f>
        <v>3975537.515625</v>
      </c>
      <c r="F177">
        <v>891</v>
      </c>
      <c r="G177" s="8">
        <f>LN(Table_dat150_[[#This Row],[Expenditure]])</f>
        <v>6.7923444274708089</v>
      </c>
      <c r="H177" s="9">
        <f t="shared" si="4"/>
        <v>-3.5714285714285712E-2</v>
      </c>
      <c r="I177" s="9">
        <f>(1+Table_dat150_[[#This Row],[gt]])^4 -1</f>
        <v>-0.13538467044981239</v>
      </c>
      <c r="J177" s="9">
        <f>$V$18+$V$19*Table_dat150_[[#This Row],[DecDate]]</f>
        <v>912.33101001396062</v>
      </c>
      <c r="K177" s="9">
        <f>$V$37+$V$38*Table_dat150_[[#This Row],[DecDate]]+$V$39*Table_dat150_[[#This Row],[DecDate2]]</f>
        <v>904.90627572956146</v>
      </c>
      <c r="L177" s="9">
        <f>$AF$18+$AF$19*Table_dat150_[[#This Row],[DecDate]]</f>
        <v>6.8090470088134554</v>
      </c>
      <c r="M177" s="9">
        <f>$AF$37+$AF$38*Table_dat150_[[#This Row],[DecDate]]+$AF$39*Table_dat150_[[#This Row],[DecDate2]]</f>
        <v>6.8068707923956531</v>
      </c>
      <c r="N177" s="9">
        <f>Table_dat150_[[#This Row],[LogExpenditure]]-Table_dat150_[[#This Row],[Log Quadratic Trend]]</f>
        <v>-1.452636492484416E-2</v>
      </c>
      <c r="O177" s="9">
        <f t="shared" si="5"/>
        <v>5.1815670098193326E-3</v>
      </c>
      <c r="P177" s="9">
        <f>Table_dat150_[[#This Row],[Log Quadratic Trend]]+Table_dat150_[[#This Row],[Cycle]]</f>
        <v>6.812052359405472</v>
      </c>
      <c r="Q177" s="9">
        <f>Table_dat150_[[#This Row],[LogExpenditure]]-Table_dat150_[[#This Row],[Log Quadratic Trend]]-Table_dat150_[[#This Row],[Cycle]]</f>
        <v>-1.970793193466349E-2</v>
      </c>
      <c r="R177" s="9">
        <f>AVERAGEIF(Table_dat150_[Quarter], B177, Table_dat150_[High Frequency])</f>
        <v>-2.8472086212635514E-2</v>
      </c>
      <c r="S177" s="9">
        <f>Table_dat150_[[#This Row],[S0]]-AVERAGE($R$6:$R$9)</f>
        <v>-2.8378545544192432E-2</v>
      </c>
    </row>
    <row r="178" spans="1:19" x14ac:dyDescent="0.3">
      <c r="A178">
        <v>1994</v>
      </c>
      <c r="B178">
        <v>1</v>
      </c>
      <c r="C178" s="1">
        <f>DATE(Table_dat150_[[#This Row],[Year]],(Table_dat150_[[#This Row],[Quarter]]-1)*3+2,15)</f>
        <v>34380</v>
      </c>
      <c r="D178">
        <f>Table_dat150_[[#This Row],[Year]]+1/8+(Table_dat150_[[#This Row],[Quarter]]-1)/4</f>
        <v>1994.125</v>
      </c>
      <c r="E178">
        <f>Table_dat150_[[#This Row],[DecDate]]^2</f>
        <v>3976534.515625</v>
      </c>
      <c r="F178">
        <v>875</v>
      </c>
      <c r="G178" s="8">
        <f>LN(Table_dat150_[[#This Row],[Expenditure]])</f>
        <v>6.7742238863576141</v>
      </c>
      <c r="H178" s="9">
        <f t="shared" si="4"/>
        <v>-1.7957351290684626E-2</v>
      </c>
      <c r="I178" s="9">
        <f>(1+Table_dat150_[[#This Row],[gt]])^4 -1</f>
        <v>-6.9917664960247983E-2</v>
      </c>
      <c r="J178" s="9">
        <f>$V$18+$V$19*Table_dat150_[[#This Row],[DecDate]]</f>
        <v>913.63666555778764</v>
      </c>
      <c r="K178" s="9">
        <f>$V$37+$V$38*Table_dat150_[[#This Row],[DecDate]]+$V$39*Table_dat150_[[#This Row],[DecDate2]]</f>
        <v>906.30210486355645</v>
      </c>
      <c r="L178" s="9">
        <f>$AF$18+$AF$19*Table_dat150_[[#This Row],[DecDate]]</f>
        <v>6.8105530375642305</v>
      </c>
      <c r="M178" s="9">
        <f>$AF$37+$AF$38*Table_dat150_[[#This Row],[DecDate]]+$AF$39*Table_dat150_[[#This Row],[DecDate2]]</f>
        <v>6.8084032513511801</v>
      </c>
      <c r="N178" s="9">
        <f>Table_dat150_[[#This Row],[LogExpenditure]]-Table_dat150_[[#This Row],[Log Quadratic Trend]]</f>
        <v>-3.4179364993565997E-2</v>
      </c>
      <c r="O178" s="9">
        <f t="shared" si="5"/>
        <v>4.5102503965333439E-3</v>
      </c>
      <c r="P178" s="9">
        <f>Table_dat150_[[#This Row],[Log Quadratic Trend]]+Table_dat150_[[#This Row],[Cycle]]</f>
        <v>6.8129135017477136</v>
      </c>
      <c r="Q178" s="9">
        <f>Table_dat150_[[#This Row],[LogExpenditure]]-Table_dat150_[[#This Row],[Log Quadratic Trend]]-Table_dat150_[[#This Row],[Cycle]]</f>
        <v>-3.8689615390099338E-2</v>
      </c>
      <c r="R178" s="9">
        <f>AVERAGEIF(Table_dat150_[Quarter], B178, Table_dat150_[High Frequency])</f>
        <v>-4.2281954239907563E-2</v>
      </c>
      <c r="S178" s="9">
        <f>Table_dat150_[[#This Row],[S0]]-AVERAGE($R$6:$R$9)</f>
        <v>-4.2188413571464481E-2</v>
      </c>
    </row>
    <row r="179" spans="1:19" x14ac:dyDescent="0.3">
      <c r="A179">
        <v>1994</v>
      </c>
      <c r="B179">
        <v>2</v>
      </c>
      <c r="C179" s="1">
        <f>DATE(Table_dat150_[[#This Row],[Year]],(Table_dat150_[[#This Row],[Quarter]]-1)*3+2,15)</f>
        <v>34469</v>
      </c>
      <c r="D179">
        <f>Table_dat150_[[#This Row],[Year]]+1/8+(Table_dat150_[[#This Row],[Quarter]]-1)/4</f>
        <v>1994.375</v>
      </c>
      <c r="E179">
        <f>Table_dat150_[[#This Row],[DecDate]]^2</f>
        <v>3977531.640625</v>
      </c>
      <c r="F179">
        <v>928</v>
      </c>
      <c r="G179" s="8">
        <f>LN(Table_dat150_[[#This Row],[Expenditure]])</f>
        <v>6.8330317327862007</v>
      </c>
      <c r="H179" s="9">
        <f t="shared" si="4"/>
        <v>6.0571428571428575E-2</v>
      </c>
      <c r="I179" s="9">
        <f>(1+Table_dat150_[[#This Row],[gt]])^4 -1</f>
        <v>0.2652014844157331</v>
      </c>
      <c r="J179" s="9">
        <f>$V$18+$V$19*Table_dat150_[[#This Row],[DecDate]]</f>
        <v>914.94232110161283</v>
      </c>
      <c r="K179" s="9">
        <f>$V$37+$V$38*Table_dat150_[[#This Row],[DecDate]]+$V$39*Table_dat150_[[#This Row],[DecDate2]]</f>
        <v>907.70058616196911</v>
      </c>
      <c r="L179" s="9">
        <f>$AF$18+$AF$19*Table_dat150_[[#This Row],[DecDate]]</f>
        <v>6.8120590663150056</v>
      </c>
      <c r="M179" s="9">
        <f>$AF$37+$AF$38*Table_dat150_[[#This Row],[DecDate]]+$AF$39*Table_dat150_[[#This Row],[DecDate2]]</f>
        <v>6.8099364876656665</v>
      </c>
      <c r="N179" s="9">
        <f>Table_dat150_[[#This Row],[LogExpenditure]]-Table_dat150_[[#This Row],[Log Quadratic Trend]]</f>
        <v>2.309524512053418E-2</v>
      </c>
      <c r="O179" s="9">
        <f t="shared" si="5"/>
        <v>-9.5753903769963951E-4</v>
      </c>
      <c r="P179" s="9">
        <f>Table_dat150_[[#This Row],[Log Quadratic Trend]]+Table_dat150_[[#This Row],[Cycle]]</f>
        <v>6.808978948627967</v>
      </c>
      <c r="Q179" s="9">
        <f>Table_dat150_[[#This Row],[LogExpenditure]]-Table_dat150_[[#This Row],[Log Quadratic Trend]]-Table_dat150_[[#This Row],[Cycle]]</f>
        <v>2.4052784158233819E-2</v>
      </c>
      <c r="R179" s="9">
        <f>AVERAGEIF(Table_dat150_[Quarter], B179, Table_dat150_[High Frequency])</f>
        <v>3.2923068860816217E-2</v>
      </c>
      <c r="S179" s="9">
        <f>Table_dat150_[[#This Row],[S0]]-AVERAGE($R$6:$R$9)</f>
        <v>3.3016609529259298E-2</v>
      </c>
    </row>
    <row r="180" spans="1:19" x14ac:dyDescent="0.3">
      <c r="A180">
        <v>1994</v>
      </c>
      <c r="B180">
        <v>3</v>
      </c>
      <c r="C180" s="1">
        <f>DATE(Table_dat150_[[#This Row],[Year]],(Table_dat150_[[#This Row],[Quarter]]-1)*3+2,15)</f>
        <v>34561</v>
      </c>
      <c r="D180">
        <f>Table_dat150_[[#This Row],[Year]]+1/8+(Table_dat150_[[#This Row],[Quarter]]-1)/4</f>
        <v>1994.625</v>
      </c>
      <c r="E180">
        <f>Table_dat150_[[#This Row],[DecDate]]^2</f>
        <v>3978528.890625</v>
      </c>
      <c r="F180">
        <v>931</v>
      </c>
      <c r="G180" s="8">
        <f>LN(Table_dat150_[[#This Row],[Expenditure]])</f>
        <v>6.8362592772770672</v>
      </c>
      <c r="H180" s="9">
        <f t="shared" si="4"/>
        <v>3.2327586206896551E-3</v>
      </c>
      <c r="I180" s="9">
        <f>(1+Table_dat150_[[#This Row],[gt]])^4 -1</f>
        <v>1.2993874100502456E-2</v>
      </c>
      <c r="J180" s="9">
        <f>$V$18+$V$19*Table_dat150_[[#This Row],[DecDate]]</f>
        <v>916.24797664543985</v>
      </c>
      <c r="K180" s="9">
        <f>$V$37+$V$38*Table_dat150_[[#This Row],[DecDate]]+$V$39*Table_dat150_[[#This Row],[DecDate2]]</f>
        <v>909.10171962479944</v>
      </c>
      <c r="L180" s="9">
        <f>$AF$18+$AF$19*Table_dat150_[[#This Row],[DecDate]]</f>
        <v>6.8135650950657807</v>
      </c>
      <c r="M180" s="9">
        <f>$AF$37+$AF$38*Table_dat150_[[#This Row],[DecDate]]+$AF$39*Table_dat150_[[#This Row],[DecDate2]]</f>
        <v>6.8114705013391266</v>
      </c>
      <c r="N180" s="9">
        <f>Table_dat150_[[#This Row],[LogExpenditure]]-Table_dat150_[[#This Row],[Log Quadratic Trend]]</f>
        <v>2.4788775937940599E-2</v>
      </c>
      <c r="O180" s="9">
        <f t="shared" si="5"/>
        <v>-6.8025534235191644E-3</v>
      </c>
      <c r="P180" s="9">
        <f>Table_dat150_[[#This Row],[Log Quadratic Trend]]+Table_dat150_[[#This Row],[Cycle]]</f>
        <v>6.8046679479156076</v>
      </c>
      <c r="Q180" s="9">
        <f>Table_dat150_[[#This Row],[LogExpenditure]]-Table_dat150_[[#This Row],[Log Quadratic Trend]]-Table_dat150_[[#This Row],[Cycle]]</f>
        <v>3.1591329361459766E-2</v>
      </c>
      <c r="R180" s="9">
        <f>AVERAGEIF(Table_dat150_[Quarter], B180, Table_dat150_[High Frequency])</f>
        <v>3.7456808917954526E-2</v>
      </c>
      <c r="S180" s="9">
        <f>Table_dat150_[[#This Row],[S0]]-AVERAGE($R$6:$R$9)</f>
        <v>3.7550349586397608E-2</v>
      </c>
    </row>
    <row r="181" spans="1:19" x14ac:dyDescent="0.3">
      <c r="A181">
        <v>1994</v>
      </c>
      <c r="B181">
        <v>4</v>
      </c>
      <c r="C181" s="1">
        <f>DATE(Table_dat150_[[#This Row],[Year]],(Table_dat150_[[#This Row],[Quarter]]-1)*3+2,15)</f>
        <v>34653</v>
      </c>
      <c r="D181">
        <f>Table_dat150_[[#This Row],[Year]]+1/8+(Table_dat150_[[#This Row],[Quarter]]-1)/4</f>
        <v>1994.875</v>
      </c>
      <c r="E181">
        <f>Table_dat150_[[#This Row],[DecDate]]^2</f>
        <v>3979526.265625</v>
      </c>
      <c r="F181">
        <v>906</v>
      </c>
      <c r="G181" s="8">
        <f>LN(Table_dat150_[[#This Row],[Expenditure]])</f>
        <v>6.8090393060429797</v>
      </c>
      <c r="H181" s="9">
        <f t="shared" si="4"/>
        <v>-2.6852846401718582E-2</v>
      </c>
      <c r="I181" s="9">
        <f>(1+Table_dat150_[[#This Row],[gt]])^4 -1</f>
        <v>-0.10316186520148507</v>
      </c>
      <c r="J181" s="9">
        <f>$V$18+$V$19*Table_dat150_[[#This Row],[DecDate]]</f>
        <v>917.55363218926686</v>
      </c>
      <c r="K181" s="9">
        <f>$V$37+$V$38*Table_dat150_[[#This Row],[DecDate]]+$V$39*Table_dat150_[[#This Row],[DecDate2]]</f>
        <v>910.50550525204744</v>
      </c>
      <c r="L181" s="9">
        <f>$AF$18+$AF$19*Table_dat150_[[#This Row],[DecDate]]</f>
        <v>6.8150711238165558</v>
      </c>
      <c r="M181" s="9">
        <f>$AF$37+$AF$38*Table_dat150_[[#This Row],[DecDate]]+$AF$39*Table_dat150_[[#This Row],[DecDate2]]</f>
        <v>6.8130052923715425</v>
      </c>
      <c r="N181" s="9">
        <f>Table_dat150_[[#This Row],[LogExpenditure]]-Table_dat150_[[#This Row],[Log Quadratic Trend]]</f>
        <v>-3.9659863285628205E-3</v>
      </c>
      <c r="O181" s="9">
        <f t="shared" si="5"/>
        <v>8.2115120736521159E-4</v>
      </c>
      <c r="P181" s="9">
        <f>Table_dat150_[[#This Row],[Log Quadratic Trend]]+Table_dat150_[[#This Row],[Cycle]]</f>
        <v>6.8138264435789075</v>
      </c>
      <c r="Q181" s="9">
        <f>Table_dat150_[[#This Row],[LogExpenditure]]-Table_dat150_[[#This Row],[Log Quadratic Trend]]-Table_dat150_[[#This Row],[Cycle]]</f>
        <v>-4.7871375359280323E-3</v>
      </c>
      <c r="R181" s="9">
        <f>AVERAGEIF(Table_dat150_[Quarter], B181, Table_dat150_[High Frequency])</f>
        <v>-2.8472086212635514E-2</v>
      </c>
      <c r="S181" s="9">
        <f>Table_dat150_[[#This Row],[S0]]-AVERAGE($R$6:$R$9)</f>
        <v>-2.8378545544192432E-2</v>
      </c>
    </row>
    <row r="182" spans="1:19" x14ac:dyDescent="0.3">
      <c r="A182">
        <v>1995</v>
      </c>
      <c r="B182">
        <v>1</v>
      </c>
      <c r="C182" s="1">
        <f>DATE(Table_dat150_[[#This Row],[Year]],(Table_dat150_[[#This Row],[Quarter]]-1)*3+2,15)</f>
        <v>34745</v>
      </c>
      <c r="D182">
        <f>Table_dat150_[[#This Row],[Year]]+1/8+(Table_dat150_[[#This Row],[Quarter]]-1)/4</f>
        <v>1995.125</v>
      </c>
      <c r="E182">
        <f>Table_dat150_[[#This Row],[DecDate]]^2</f>
        <v>3980523.765625</v>
      </c>
      <c r="F182">
        <v>872</v>
      </c>
      <c r="G182" s="8">
        <f>LN(Table_dat150_[[#This Row],[Expenditure]])</f>
        <v>6.7707894239089796</v>
      </c>
      <c r="H182" s="9">
        <f t="shared" si="4"/>
        <v>-3.7527593818984545E-2</v>
      </c>
      <c r="I182" s="9">
        <f>(1+Table_dat150_[[#This Row],[gt]])^4 -1</f>
        <v>-0.14186987361123859</v>
      </c>
      <c r="J182" s="9">
        <f>$V$18+$V$19*Table_dat150_[[#This Row],[DecDate]]</f>
        <v>918.85928773309206</v>
      </c>
      <c r="K182" s="9">
        <f>$V$37+$V$38*Table_dat150_[[#This Row],[DecDate]]+$V$39*Table_dat150_[[#This Row],[DecDate2]]</f>
        <v>911.91194304371311</v>
      </c>
      <c r="L182" s="9">
        <f>$AF$18+$AF$19*Table_dat150_[[#This Row],[DecDate]]</f>
        <v>6.8165771525673309</v>
      </c>
      <c r="M182" s="9">
        <f>$AF$37+$AF$38*Table_dat150_[[#This Row],[DecDate]]+$AF$39*Table_dat150_[[#This Row],[DecDate2]]</f>
        <v>6.8145408607629214</v>
      </c>
      <c r="N182" s="9">
        <f>Table_dat150_[[#This Row],[LogExpenditure]]-Table_dat150_[[#This Row],[Log Quadratic Trend]]</f>
        <v>-4.3751436853941783E-2</v>
      </c>
      <c r="O182" s="9">
        <f t="shared" si="5"/>
        <v>4.3922432170155901E-3</v>
      </c>
      <c r="P182" s="9">
        <f>Table_dat150_[[#This Row],[Log Quadratic Trend]]+Table_dat150_[[#This Row],[Cycle]]</f>
        <v>6.818933103979937</v>
      </c>
      <c r="Q182" s="9">
        <f>Table_dat150_[[#This Row],[LogExpenditure]]-Table_dat150_[[#This Row],[Log Quadratic Trend]]-Table_dat150_[[#This Row],[Cycle]]</f>
        <v>-4.8143680070957373E-2</v>
      </c>
      <c r="R182" s="9">
        <f>AVERAGEIF(Table_dat150_[Quarter], B182, Table_dat150_[High Frequency])</f>
        <v>-4.2281954239907563E-2</v>
      </c>
      <c r="S182" s="9">
        <f>Table_dat150_[[#This Row],[S0]]-AVERAGE($R$6:$R$9)</f>
        <v>-4.2188413571464481E-2</v>
      </c>
    </row>
    <row r="183" spans="1:19" x14ac:dyDescent="0.3">
      <c r="A183">
        <v>1995</v>
      </c>
      <c r="B183">
        <v>2</v>
      </c>
      <c r="C183" s="1">
        <f>DATE(Table_dat150_[[#This Row],[Year]],(Table_dat150_[[#This Row],[Quarter]]-1)*3+2,15)</f>
        <v>34834</v>
      </c>
      <c r="D183">
        <f>Table_dat150_[[#This Row],[Year]]+1/8+(Table_dat150_[[#This Row],[Quarter]]-1)/4</f>
        <v>1995.375</v>
      </c>
      <c r="E183">
        <f>Table_dat150_[[#This Row],[DecDate]]^2</f>
        <v>3981521.390625</v>
      </c>
      <c r="F183">
        <v>916</v>
      </c>
      <c r="G183" s="8">
        <f>LN(Table_dat150_[[#This Row],[Expenditure]])</f>
        <v>6.8200163646741299</v>
      </c>
      <c r="H183" s="9">
        <f t="shared" si="4"/>
        <v>5.0458715596330278E-2</v>
      </c>
      <c r="I183" s="9">
        <f>(1+Table_dat150_[[#This Row],[gt]])^4 -1</f>
        <v>0.21763172490253679</v>
      </c>
      <c r="J183" s="9">
        <f>$V$18+$V$19*Table_dat150_[[#This Row],[DecDate]]</f>
        <v>920.16494327691908</v>
      </c>
      <c r="K183" s="9">
        <f>$V$37+$V$38*Table_dat150_[[#This Row],[DecDate]]+$V$39*Table_dat150_[[#This Row],[DecDate2]]</f>
        <v>913.32103299976734</v>
      </c>
      <c r="L183" s="9">
        <f>$AF$18+$AF$19*Table_dat150_[[#This Row],[DecDate]]</f>
        <v>6.8180831813181078</v>
      </c>
      <c r="M183" s="9">
        <f>$AF$37+$AF$38*Table_dat150_[[#This Row],[DecDate]]+$AF$39*Table_dat150_[[#This Row],[DecDate2]]</f>
        <v>6.816077206513274</v>
      </c>
      <c r="N183" s="9">
        <f>Table_dat150_[[#This Row],[LogExpenditure]]-Table_dat150_[[#This Row],[Log Quadratic Trend]]</f>
        <v>3.9391581608558823E-3</v>
      </c>
      <c r="O183" s="9">
        <f t="shared" si="5"/>
        <v>-7.7309178679499267E-3</v>
      </c>
      <c r="P183" s="9">
        <f>Table_dat150_[[#This Row],[Log Quadratic Trend]]+Table_dat150_[[#This Row],[Cycle]]</f>
        <v>6.8083462886453239</v>
      </c>
      <c r="Q183" s="9">
        <f>Table_dat150_[[#This Row],[LogExpenditure]]-Table_dat150_[[#This Row],[Log Quadratic Trend]]-Table_dat150_[[#This Row],[Cycle]]</f>
        <v>1.167007602880581E-2</v>
      </c>
      <c r="R183" s="9">
        <f>AVERAGEIF(Table_dat150_[Quarter], B183, Table_dat150_[High Frequency])</f>
        <v>3.2923068860816217E-2</v>
      </c>
      <c r="S183" s="9">
        <f>Table_dat150_[[#This Row],[S0]]-AVERAGE($R$6:$R$9)</f>
        <v>3.3016609529259298E-2</v>
      </c>
    </row>
    <row r="184" spans="1:19" x14ac:dyDescent="0.3">
      <c r="A184">
        <v>1995</v>
      </c>
      <c r="B184">
        <v>3</v>
      </c>
      <c r="C184" s="1">
        <f>DATE(Table_dat150_[[#This Row],[Year]],(Table_dat150_[[#This Row],[Quarter]]-1)*3+2,15)</f>
        <v>34926</v>
      </c>
      <c r="D184">
        <f>Table_dat150_[[#This Row],[Year]]+1/8+(Table_dat150_[[#This Row],[Quarter]]-1)/4</f>
        <v>1995.625</v>
      </c>
      <c r="E184">
        <f>Table_dat150_[[#This Row],[DecDate]]^2</f>
        <v>3982519.140625</v>
      </c>
      <c r="F184">
        <v>952</v>
      </c>
      <c r="G184" s="8">
        <f>LN(Table_dat150_[[#This Row],[Expenditure]])</f>
        <v>6.8585650347913649</v>
      </c>
      <c r="H184" s="9">
        <f t="shared" si="4"/>
        <v>3.9301310043668124E-2</v>
      </c>
      <c r="I184" s="9">
        <f>(1+Table_dat150_[[#This Row],[gt]])^4 -1</f>
        <v>0.16671800187801189</v>
      </c>
      <c r="J184" s="9">
        <f>$V$18+$V$19*Table_dat150_[[#This Row],[DecDate]]</f>
        <v>921.47059882074609</v>
      </c>
      <c r="K184" s="9">
        <f>$V$37+$V$38*Table_dat150_[[#This Row],[DecDate]]+$V$39*Table_dat150_[[#This Row],[DecDate2]]</f>
        <v>914.73277512025379</v>
      </c>
      <c r="L184" s="9">
        <f>$AF$18+$AF$19*Table_dat150_[[#This Row],[DecDate]]</f>
        <v>6.8195892100688829</v>
      </c>
      <c r="M184" s="9">
        <f>$AF$37+$AF$38*Table_dat150_[[#This Row],[DecDate]]+$AF$39*Table_dat150_[[#This Row],[DecDate2]]</f>
        <v>6.8176143296225789</v>
      </c>
      <c r="N184" s="9">
        <f>Table_dat150_[[#This Row],[LogExpenditure]]-Table_dat150_[[#This Row],[Log Quadratic Trend]]</f>
        <v>4.0950705168786072E-2</v>
      </c>
      <c r="O184" s="9">
        <f t="shared" si="5"/>
        <v>-1.6459827054746513E-2</v>
      </c>
      <c r="P184" s="9">
        <f>Table_dat150_[[#This Row],[Log Quadratic Trend]]+Table_dat150_[[#This Row],[Cycle]]</f>
        <v>6.8011545025678322</v>
      </c>
      <c r="Q184" s="9">
        <f>Table_dat150_[[#This Row],[LogExpenditure]]-Table_dat150_[[#This Row],[Log Quadratic Trend]]-Table_dat150_[[#This Row],[Cycle]]</f>
        <v>5.7410532223532582E-2</v>
      </c>
      <c r="R184" s="9">
        <f>AVERAGEIF(Table_dat150_[Quarter], B184, Table_dat150_[High Frequency])</f>
        <v>3.7456808917954526E-2</v>
      </c>
      <c r="S184" s="9">
        <f>Table_dat150_[[#This Row],[S0]]-AVERAGE($R$6:$R$9)</f>
        <v>3.7550349586397608E-2</v>
      </c>
    </row>
    <row r="185" spans="1:19" x14ac:dyDescent="0.3">
      <c r="A185">
        <v>1995</v>
      </c>
      <c r="B185">
        <v>4</v>
      </c>
      <c r="C185" s="1">
        <f>DATE(Table_dat150_[[#This Row],[Year]],(Table_dat150_[[#This Row],[Quarter]]-1)*3+2,15)</f>
        <v>35018</v>
      </c>
      <c r="D185">
        <f>Table_dat150_[[#This Row],[Year]]+1/8+(Table_dat150_[[#This Row],[Quarter]]-1)/4</f>
        <v>1995.875</v>
      </c>
      <c r="E185">
        <f>Table_dat150_[[#This Row],[DecDate]]^2</f>
        <v>3983517.015625</v>
      </c>
      <c r="F185">
        <v>883</v>
      </c>
      <c r="G185" s="8">
        <f>LN(Table_dat150_[[#This Row],[Expenditure]])</f>
        <v>6.7833252006039597</v>
      </c>
      <c r="H185" s="9">
        <f t="shared" si="4"/>
        <v>-7.2478991596638662E-2</v>
      </c>
      <c r="I185" s="9">
        <f>(1+Table_dat150_[[#This Row],[gt]])^4 -1</f>
        <v>-0.25989213267365174</v>
      </c>
      <c r="J185" s="9">
        <f>$V$18+$V$19*Table_dat150_[[#This Row],[DecDate]]</f>
        <v>922.77625436457129</v>
      </c>
      <c r="K185" s="9">
        <f>$V$37+$V$38*Table_dat150_[[#This Row],[DecDate]]+$V$39*Table_dat150_[[#This Row],[DecDate2]]</f>
        <v>916.14716940517246</v>
      </c>
      <c r="L185" s="9">
        <f>$AF$18+$AF$19*Table_dat150_[[#This Row],[DecDate]]</f>
        <v>6.821095238819658</v>
      </c>
      <c r="M185" s="9">
        <f>$AF$37+$AF$38*Table_dat150_[[#This Row],[DecDate]]+$AF$39*Table_dat150_[[#This Row],[DecDate2]]</f>
        <v>6.8191522300908467</v>
      </c>
      <c r="N185" s="9">
        <f>Table_dat150_[[#This Row],[LogExpenditure]]-Table_dat150_[[#This Row],[Log Quadratic Trend]]</f>
        <v>-3.5827029486886985E-2</v>
      </c>
      <c r="O185" s="9">
        <f t="shared" si="5"/>
        <v>-2.7669843877387024E-3</v>
      </c>
      <c r="P185" s="9">
        <f>Table_dat150_[[#This Row],[Log Quadratic Trend]]+Table_dat150_[[#This Row],[Cycle]]</f>
        <v>6.816385245703108</v>
      </c>
      <c r="Q185" s="9">
        <f>Table_dat150_[[#This Row],[LogExpenditure]]-Table_dat150_[[#This Row],[Log Quadratic Trend]]-Table_dat150_[[#This Row],[Cycle]]</f>
        <v>-3.3060045099148283E-2</v>
      </c>
      <c r="R185" s="9">
        <f>AVERAGEIF(Table_dat150_[Quarter], B185, Table_dat150_[High Frequency])</f>
        <v>-2.8472086212635514E-2</v>
      </c>
      <c r="S185" s="9">
        <f>Table_dat150_[[#This Row],[S0]]-AVERAGE($R$6:$R$9)</f>
        <v>-2.8378545544192432E-2</v>
      </c>
    </row>
    <row r="186" spans="1:19" x14ac:dyDescent="0.3">
      <c r="A186">
        <v>1996</v>
      </c>
      <c r="B186">
        <v>1</v>
      </c>
      <c r="C186" s="1">
        <f>DATE(Table_dat150_[[#This Row],[Year]],(Table_dat150_[[#This Row],[Quarter]]-1)*3+2,15)</f>
        <v>35110</v>
      </c>
      <c r="D186">
        <f>Table_dat150_[[#This Row],[Year]]+1/8+(Table_dat150_[[#This Row],[Quarter]]-1)/4</f>
        <v>1996.125</v>
      </c>
      <c r="E186">
        <f>Table_dat150_[[#This Row],[DecDate]]^2</f>
        <v>3984515.015625</v>
      </c>
      <c r="F186">
        <v>874</v>
      </c>
      <c r="G186" s="8">
        <f>LN(Table_dat150_[[#This Row],[Expenditure]])</f>
        <v>6.7730803756555353</v>
      </c>
      <c r="H186" s="9">
        <f t="shared" si="4"/>
        <v>-1.0192525481313703E-2</v>
      </c>
      <c r="I186" s="9">
        <f>(1+Table_dat150_[[#This Row],[gt]])^4 -1</f>
        <v>-4.0151001185552371E-2</v>
      </c>
      <c r="J186" s="9">
        <f>$V$18+$V$19*Table_dat150_[[#This Row],[DecDate]]</f>
        <v>924.0819099083983</v>
      </c>
      <c r="K186" s="9">
        <f>$V$37+$V$38*Table_dat150_[[#This Row],[DecDate]]+$V$39*Table_dat150_[[#This Row],[DecDate2]]</f>
        <v>917.56421585449425</v>
      </c>
      <c r="L186" s="9">
        <f>$AF$18+$AF$19*Table_dat150_[[#This Row],[DecDate]]</f>
        <v>6.8226012675704331</v>
      </c>
      <c r="M186" s="9">
        <f>$AF$37+$AF$38*Table_dat150_[[#This Row],[DecDate]]+$AF$39*Table_dat150_[[#This Row],[DecDate2]]</f>
        <v>6.8206909079180811</v>
      </c>
      <c r="N186" s="9">
        <f>Table_dat150_[[#This Row],[LogExpenditure]]-Table_dat150_[[#This Row],[Log Quadratic Trend]]</f>
        <v>-4.7610532262545746E-2</v>
      </c>
      <c r="O186" s="9">
        <f t="shared" si="5"/>
        <v>2.7728245721872825E-3</v>
      </c>
      <c r="P186" s="9">
        <f>Table_dat150_[[#This Row],[Log Quadratic Trend]]+Table_dat150_[[#This Row],[Cycle]]</f>
        <v>6.8234637324902687</v>
      </c>
      <c r="Q186" s="9">
        <f>Table_dat150_[[#This Row],[LogExpenditure]]-Table_dat150_[[#This Row],[Log Quadratic Trend]]-Table_dat150_[[#This Row],[Cycle]]</f>
        <v>-5.038335683473303E-2</v>
      </c>
      <c r="R186" s="9">
        <f>AVERAGEIF(Table_dat150_[Quarter], B186, Table_dat150_[High Frequency])</f>
        <v>-4.2281954239907563E-2</v>
      </c>
      <c r="S186" s="9">
        <f>Table_dat150_[[#This Row],[S0]]-AVERAGE($R$6:$R$9)</f>
        <v>-4.2188413571464481E-2</v>
      </c>
    </row>
    <row r="187" spans="1:19" x14ac:dyDescent="0.3">
      <c r="A187">
        <v>1996</v>
      </c>
      <c r="B187">
        <v>2</v>
      </c>
      <c r="C187" s="1">
        <f>DATE(Table_dat150_[[#This Row],[Year]],(Table_dat150_[[#This Row],[Quarter]]-1)*3+2,15)</f>
        <v>35200</v>
      </c>
      <c r="D187">
        <f>Table_dat150_[[#This Row],[Year]]+1/8+(Table_dat150_[[#This Row],[Quarter]]-1)/4</f>
        <v>1996.375</v>
      </c>
      <c r="E187">
        <f>Table_dat150_[[#This Row],[DecDate]]^2</f>
        <v>3985513.140625</v>
      </c>
      <c r="F187">
        <v>941</v>
      </c>
      <c r="G187" s="8">
        <f>LN(Table_dat150_[[#This Row],[Expenditure]])</f>
        <v>6.8469431395853793</v>
      </c>
      <c r="H187" s="9">
        <f t="shared" si="4"/>
        <v>7.6659038901601834E-2</v>
      </c>
      <c r="I187" s="9">
        <f>(1+Table_dat150_[[#This Row],[gt]])^4 -1</f>
        <v>0.3437323201631286</v>
      </c>
      <c r="J187" s="9">
        <f>$V$18+$V$19*Table_dat150_[[#This Row],[DecDate]]</f>
        <v>925.38756545222532</v>
      </c>
      <c r="K187" s="9">
        <f>$V$37+$V$38*Table_dat150_[[#This Row],[DecDate]]+$V$39*Table_dat150_[[#This Row],[DecDate2]]</f>
        <v>918.98391446824826</v>
      </c>
      <c r="L187" s="9">
        <f>$AF$18+$AF$19*Table_dat150_[[#This Row],[DecDate]]</f>
        <v>6.8241072963212082</v>
      </c>
      <c r="M187" s="9">
        <f>$AF$37+$AF$38*Table_dat150_[[#This Row],[DecDate]]+$AF$39*Table_dat150_[[#This Row],[DecDate2]]</f>
        <v>6.822230363104282</v>
      </c>
      <c r="N187" s="9">
        <f>Table_dat150_[[#This Row],[LogExpenditure]]-Table_dat150_[[#This Row],[Log Quadratic Trend]]</f>
        <v>2.4712776481097265E-2</v>
      </c>
      <c r="O187" s="9">
        <f t="shared" si="5"/>
        <v>-2.4265207353444396E-4</v>
      </c>
      <c r="P187" s="9">
        <f>Table_dat150_[[#This Row],[Log Quadratic Trend]]+Table_dat150_[[#This Row],[Cycle]]</f>
        <v>6.8219877110307472</v>
      </c>
      <c r="Q187" s="9">
        <f>Table_dat150_[[#This Row],[LogExpenditure]]-Table_dat150_[[#This Row],[Log Quadratic Trend]]-Table_dat150_[[#This Row],[Cycle]]</f>
        <v>2.495542855463171E-2</v>
      </c>
      <c r="R187" s="9">
        <f>AVERAGEIF(Table_dat150_[Quarter], B187, Table_dat150_[High Frequency])</f>
        <v>3.2923068860816217E-2</v>
      </c>
      <c r="S187" s="9">
        <f>Table_dat150_[[#This Row],[S0]]-AVERAGE($R$6:$R$9)</f>
        <v>3.3016609529259298E-2</v>
      </c>
    </row>
    <row r="188" spans="1:19" x14ac:dyDescent="0.3">
      <c r="A188">
        <v>1996</v>
      </c>
      <c r="B188">
        <v>3</v>
      </c>
      <c r="C188" s="1">
        <f>DATE(Table_dat150_[[#This Row],[Year]],(Table_dat150_[[#This Row],[Quarter]]-1)*3+2,15)</f>
        <v>35292</v>
      </c>
      <c r="D188">
        <f>Table_dat150_[[#This Row],[Year]]+1/8+(Table_dat150_[[#This Row],[Quarter]]-1)/4</f>
        <v>1996.625</v>
      </c>
      <c r="E188">
        <f>Table_dat150_[[#This Row],[DecDate]]^2</f>
        <v>3986511.390625</v>
      </c>
      <c r="F188">
        <v>949</v>
      </c>
      <c r="G188" s="8">
        <f>LN(Table_dat150_[[#This Row],[Expenditure]])</f>
        <v>6.8554087986099281</v>
      </c>
      <c r="H188" s="9">
        <f t="shared" si="4"/>
        <v>8.5015940488841653E-3</v>
      </c>
      <c r="I188" s="9">
        <f>(1+Table_dat150_[[#This Row],[gt]])^4 -1</f>
        <v>3.4442501910047607E-2</v>
      </c>
      <c r="J188" s="9">
        <f>$V$18+$V$19*Table_dat150_[[#This Row],[DecDate]]</f>
        <v>926.69322099605233</v>
      </c>
      <c r="K188" s="9">
        <f>$V$37+$V$38*Table_dat150_[[#This Row],[DecDate]]+$V$39*Table_dat150_[[#This Row],[DecDate2]]</f>
        <v>920.40626524640538</v>
      </c>
      <c r="L188" s="9">
        <f>$AF$18+$AF$19*Table_dat150_[[#This Row],[DecDate]]</f>
        <v>6.8256133250719833</v>
      </c>
      <c r="M188" s="9">
        <f>$AF$37+$AF$38*Table_dat150_[[#This Row],[DecDate]]+$AF$39*Table_dat150_[[#This Row],[DecDate2]]</f>
        <v>6.8237705956494423</v>
      </c>
      <c r="N188" s="9">
        <f>Table_dat150_[[#This Row],[LogExpenditure]]-Table_dat150_[[#This Row],[Log Quadratic Trend]]</f>
        <v>3.1638202960485806E-2</v>
      </c>
      <c r="O188" s="9">
        <f t="shared" si="5"/>
        <v>9.4473629062797222E-3</v>
      </c>
      <c r="P188" s="9">
        <f>Table_dat150_[[#This Row],[Log Quadratic Trend]]+Table_dat150_[[#This Row],[Cycle]]</f>
        <v>6.8332179585557222</v>
      </c>
      <c r="Q188" s="9">
        <f>Table_dat150_[[#This Row],[LogExpenditure]]-Table_dat150_[[#This Row],[Log Quadratic Trend]]-Table_dat150_[[#This Row],[Cycle]]</f>
        <v>2.2190840054206084E-2</v>
      </c>
      <c r="R188" s="9">
        <f>AVERAGEIF(Table_dat150_[Quarter], B188, Table_dat150_[High Frequency])</f>
        <v>3.7456808917954526E-2</v>
      </c>
      <c r="S188" s="9">
        <f>Table_dat150_[[#This Row],[S0]]-AVERAGE($R$6:$R$9)</f>
        <v>3.7550349586397608E-2</v>
      </c>
    </row>
    <row r="189" spans="1:19" x14ac:dyDescent="0.3">
      <c r="A189">
        <v>1996</v>
      </c>
      <c r="B189">
        <v>4</v>
      </c>
      <c r="C189" s="1">
        <f>DATE(Table_dat150_[[#This Row],[Year]],(Table_dat150_[[#This Row],[Quarter]]-1)*3+2,15)</f>
        <v>35384</v>
      </c>
      <c r="D189">
        <f>Table_dat150_[[#This Row],[Year]]+1/8+(Table_dat150_[[#This Row],[Quarter]]-1)/4</f>
        <v>1996.875</v>
      </c>
      <c r="E189">
        <f>Table_dat150_[[#This Row],[DecDate]]^2</f>
        <v>3987509.765625</v>
      </c>
      <c r="F189">
        <v>945</v>
      </c>
      <c r="G189" s="8">
        <f>LN(Table_dat150_[[#This Row],[Expenditure]])</f>
        <v>6.8511849274937431</v>
      </c>
      <c r="H189" s="9">
        <f t="shared" si="4"/>
        <v>-4.2149631190727078E-3</v>
      </c>
      <c r="I189" s="9">
        <f>(1+Table_dat150_[[#This Row],[gt]])^4 -1</f>
        <v>-1.675355620678276E-2</v>
      </c>
      <c r="J189" s="9">
        <f>$V$18+$V$19*Table_dat150_[[#This Row],[DecDate]]</f>
        <v>927.99887653987753</v>
      </c>
      <c r="K189" s="9">
        <f>$V$37+$V$38*Table_dat150_[[#This Row],[DecDate]]+$V$39*Table_dat150_[[#This Row],[DecDate2]]</f>
        <v>921.83126818899473</v>
      </c>
      <c r="L189" s="9">
        <f>$AF$18+$AF$19*Table_dat150_[[#This Row],[DecDate]]</f>
        <v>6.8271193538227601</v>
      </c>
      <c r="M189" s="9">
        <f>$AF$37+$AF$38*Table_dat150_[[#This Row],[DecDate]]+$AF$39*Table_dat150_[[#This Row],[DecDate2]]</f>
        <v>6.8253116055535656</v>
      </c>
      <c r="N189" s="9">
        <f>Table_dat150_[[#This Row],[LogExpenditure]]-Table_dat150_[[#This Row],[Log Quadratic Trend]]</f>
        <v>2.5873321940177441E-2</v>
      </c>
      <c r="O189" s="9">
        <f t="shared" si="5"/>
        <v>3.643496759731004E-2</v>
      </c>
      <c r="P189" s="9">
        <f>Table_dat150_[[#This Row],[Log Quadratic Trend]]+Table_dat150_[[#This Row],[Cycle]]</f>
        <v>6.8617465731508753</v>
      </c>
      <c r="Q189" s="9">
        <f>Table_dat150_[[#This Row],[LogExpenditure]]-Table_dat150_[[#This Row],[Log Quadratic Trend]]-Table_dat150_[[#This Row],[Cycle]]</f>
        <v>-1.05616456571326E-2</v>
      </c>
      <c r="R189" s="9">
        <f>AVERAGEIF(Table_dat150_[Quarter], B189, Table_dat150_[High Frequency])</f>
        <v>-2.8472086212635514E-2</v>
      </c>
      <c r="S189" s="9">
        <f>Table_dat150_[[#This Row],[S0]]-AVERAGE($R$6:$R$9)</f>
        <v>-2.8378545544192432E-2</v>
      </c>
    </row>
    <row r="190" spans="1:19" x14ac:dyDescent="0.3">
      <c r="A190">
        <v>1997</v>
      </c>
      <c r="B190">
        <v>1</v>
      </c>
      <c r="C190" s="1">
        <f>DATE(Table_dat150_[[#This Row],[Year]],(Table_dat150_[[#This Row],[Quarter]]-1)*3+2,15)</f>
        <v>35476</v>
      </c>
      <c r="D190">
        <f>Table_dat150_[[#This Row],[Year]]+1/8+(Table_dat150_[[#This Row],[Quarter]]-1)/4</f>
        <v>1997.125</v>
      </c>
      <c r="E190">
        <f>Table_dat150_[[#This Row],[DecDate]]^2</f>
        <v>3988508.265625</v>
      </c>
      <c r="F190">
        <v>934</v>
      </c>
      <c r="G190" s="8">
        <f>LN(Table_dat150_[[#This Row],[Expenditure]])</f>
        <v>6.8394764382288429</v>
      </c>
      <c r="H190" s="9">
        <f t="shared" si="4"/>
        <v>-1.164021164021164E-2</v>
      </c>
      <c r="I190" s="9">
        <f>(1+Table_dat150_[[#This Row],[gt]])^4 -1</f>
        <v>-4.5754169779789189E-2</v>
      </c>
      <c r="J190" s="9">
        <f>$V$18+$V$19*Table_dat150_[[#This Row],[DecDate]]</f>
        <v>929.30453208370454</v>
      </c>
      <c r="K190" s="9">
        <f>$V$37+$V$38*Table_dat150_[[#This Row],[DecDate]]+$V$39*Table_dat150_[[#This Row],[DecDate2]]</f>
        <v>923.25892329595808</v>
      </c>
      <c r="L190" s="9">
        <f>$AF$18+$AF$19*Table_dat150_[[#This Row],[DecDate]]</f>
        <v>6.8286253825735352</v>
      </c>
      <c r="M190" s="9">
        <f>$AF$37+$AF$38*Table_dat150_[[#This Row],[DecDate]]+$AF$39*Table_dat150_[[#This Row],[DecDate2]]</f>
        <v>6.826853392816659</v>
      </c>
      <c r="N190" s="9">
        <f>Table_dat150_[[#This Row],[LogExpenditure]]-Table_dat150_[[#This Row],[Log Quadratic Trend]]</f>
        <v>1.2623045412183842E-2</v>
      </c>
      <c r="O190" s="9">
        <f t="shared" si="5"/>
        <v>3.9930172684943699E-2</v>
      </c>
      <c r="P190" s="9">
        <f>Table_dat150_[[#This Row],[Log Quadratic Trend]]+Table_dat150_[[#This Row],[Cycle]]</f>
        <v>6.8667835655016027</v>
      </c>
      <c r="Q190" s="9">
        <f>Table_dat150_[[#This Row],[LogExpenditure]]-Table_dat150_[[#This Row],[Log Quadratic Trend]]-Table_dat150_[[#This Row],[Cycle]]</f>
        <v>-2.7307127272759857E-2</v>
      </c>
      <c r="R190" s="9">
        <f>AVERAGEIF(Table_dat150_[Quarter], B190, Table_dat150_[High Frequency])</f>
        <v>-4.2281954239907563E-2</v>
      </c>
      <c r="S190" s="9">
        <f>Table_dat150_[[#This Row],[S0]]-AVERAGE($R$6:$R$9)</f>
        <v>-4.2188413571464481E-2</v>
      </c>
    </row>
    <row r="191" spans="1:19" x14ac:dyDescent="0.3">
      <c r="A191">
        <v>1997</v>
      </c>
      <c r="B191">
        <v>2</v>
      </c>
      <c r="C191" s="1">
        <f>DATE(Table_dat150_[[#This Row],[Year]],(Table_dat150_[[#This Row],[Quarter]]-1)*3+2,15)</f>
        <v>35565</v>
      </c>
      <c r="D191">
        <f>Table_dat150_[[#This Row],[Year]]+1/8+(Table_dat150_[[#This Row],[Quarter]]-1)/4</f>
        <v>1997.375</v>
      </c>
      <c r="E191">
        <f>Table_dat150_[[#This Row],[DecDate]]^2</f>
        <v>3989506.890625</v>
      </c>
      <c r="F191">
        <v>1008</v>
      </c>
      <c r="G191" s="8">
        <f>LN(Table_dat150_[[#This Row],[Expenditure]])</f>
        <v>6.9157234486313142</v>
      </c>
      <c r="H191" s="9">
        <f t="shared" si="4"/>
        <v>7.922912205567452E-2</v>
      </c>
      <c r="I191" s="9">
        <f>(1+Table_dat150_[[#This Row],[gt]])^4 -1</f>
        <v>0.35660878005219887</v>
      </c>
      <c r="J191" s="9">
        <f>$V$18+$V$19*Table_dat150_[[#This Row],[DecDate]]</f>
        <v>930.61018762753156</v>
      </c>
      <c r="K191" s="9">
        <f>$V$37+$V$38*Table_dat150_[[#This Row],[DecDate]]+$V$39*Table_dat150_[[#This Row],[DecDate2]]</f>
        <v>924.68923056736821</v>
      </c>
      <c r="L191" s="9">
        <f>$AF$18+$AF$19*Table_dat150_[[#This Row],[DecDate]]</f>
        <v>6.8301314113243103</v>
      </c>
      <c r="M191" s="9">
        <f>$AF$37+$AF$38*Table_dat150_[[#This Row],[DecDate]]+$AF$39*Table_dat150_[[#This Row],[DecDate2]]</f>
        <v>6.8283959574387083</v>
      </c>
      <c r="N191" s="9">
        <f>Table_dat150_[[#This Row],[LogExpenditure]]-Table_dat150_[[#This Row],[Log Quadratic Trend]]</f>
        <v>8.7327491192605855E-2</v>
      </c>
      <c r="O191" s="9">
        <f t="shared" si="5"/>
        <v>3.2180582349523236E-2</v>
      </c>
      <c r="P191" s="9">
        <f>Table_dat150_[[#This Row],[Log Quadratic Trend]]+Table_dat150_[[#This Row],[Cycle]]</f>
        <v>6.8605765397882319</v>
      </c>
      <c r="Q191" s="9">
        <f>Table_dat150_[[#This Row],[LogExpenditure]]-Table_dat150_[[#This Row],[Log Quadratic Trend]]-Table_dat150_[[#This Row],[Cycle]]</f>
        <v>5.5146908843082619E-2</v>
      </c>
      <c r="R191" s="9">
        <f>AVERAGEIF(Table_dat150_[Quarter], B191, Table_dat150_[High Frequency])</f>
        <v>3.2923068860816217E-2</v>
      </c>
      <c r="S191" s="9">
        <f>Table_dat150_[[#This Row],[S0]]-AVERAGE($R$6:$R$9)</f>
        <v>3.3016609529259298E-2</v>
      </c>
    </row>
    <row r="192" spans="1:19" x14ac:dyDescent="0.3">
      <c r="A192">
        <v>1997</v>
      </c>
      <c r="B192">
        <v>3</v>
      </c>
      <c r="C192" s="1">
        <f>DATE(Table_dat150_[[#This Row],[Year]],(Table_dat150_[[#This Row],[Quarter]]-1)*3+2,15)</f>
        <v>35657</v>
      </c>
      <c r="D192">
        <f>Table_dat150_[[#This Row],[Year]]+1/8+(Table_dat150_[[#This Row],[Quarter]]-1)/4</f>
        <v>1997.625</v>
      </c>
      <c r="E192">
        <f>Table_dat150_[[#This Row],[DecDate]]^2</f>
        <v>3990505.640625</v>
      </c>
      <c r="F192">
        <v>965</v>
      </c>
      <c r="G192" s="8">
        <f>LN(Table_dat150_[[#This Row],[Expenditure]])</f>
        <v>6.8721281013389861</v>
      </c>
      <c r="H192" s="9">
        <f t="shared" si="4"/>
        <v>-4.265873015873016E-2</v>
      </c>
      <c r="I192" s="9">
        <f>(1+Table_dat150_[[#This Row],[gt]])^4 -1</f>
        <v>-0.16002352137128417</v>
      </c>
      <c r="J192" s="9">
        <f>$V$18+$V$19*Table_dat150_[[#This Row],[DecDate]]</f>
        <v>931.91584317135676</v>
      </c>
      <c r="K192" s="9">
        <f>$V$37+$V$38*Table_dat150_[[#This Row],[DecDate]]+$V$39*Table_dat150_[[#This Row],[DecDate2]]</f>
        <v>926.12219000319601</v>
      </c>
      <c r="L192" s="9">
        <f>$AF$18+$AF$19*Table_dat150_[[#This Row],[DecDate]]</f>
        <v>6.8316374400750854</v>
      </c>
      <c r="M192" s="9">
        <f>$AF$37+$AF$38*Table_dat150_[[#This Row],[DecDate]]+$AF$39*Table_dat150_[[#This Row],[DecDate2]]</f>
        <v>6.8299392994197206</v>
      </c>
      <c r="N192" s="9">
        <f>Table_dat150_[[#This Row],[LogExpenditure]]-Table_dat150_[[#This Row],[Log Quadratic Trend]]</f>
        <v>4.2188801919265551E-2</v>
      </c>
      <c r="O192" s="9">
        <f t="shared" si="5"/>
        <v>1.819460346819355E-2</v>
      </c>
      <c r="P192" s="9">
        <f>Table_dat150_[[#This Row],[Log Quadratic Trend]]+Table_dat150_[[#This Row],[Cycle]]</f>
        <v>6.8481339028879145</v>
      </c>
      <c r="Q192" s="9">
        <f>Table_dat150_[[#This Row],[LogExpenditure]]-Table_dat150_[[#This Row],[Log Quadratic Trend]]-Table_dat150_[[#This Row],[Cycle]]</f>
        <v>2.3994198451072E-2</v>
      </c>
      <c r="R192" s="9">
        <f>AVERAGEIF(Table_dat150_[Quarter], B192, Table_dat150_[High Frequency])</f>
        <v>3.7456808917954526E-2</v>
      </c>
      <c r="S192" s="9">
        <f>Table_dat150_[[#This Row],[S0]]-AVERAGE($R$6:$R$9)</f>
        <v>3.7550349586397608E-2</v>
      </c>
    </row>
    <row r="193" spans="1:19" x14ac:dyDescent="0.3">
      <c r="A193">
        <v>1997</v>
      </c>
      <c r="B193">
        <v>4</v>
      </c>
      <c r="C193" s="1">
        <f>DATE(Table_dat150_[[#This Row],[Year]],(Table_dat150_[[#This Row],[Quarter]]-1)*3+2,15)</f>
        <v>35749</v>
      </c>
      <c r="D193">
        <f>Table_dat150_[[#This Row],[Year]]+1/8+(Table_dat150_[[#This Row],[Quarter]]-1)/4</f>
        <v>1997.875</v>
      </c>
      <c r="E193">
        <f>Table_dat150_[[#This Row],[DecDate]]^2</f>
        <v>3991504.515625</v>
      </c>
      <c r="F193">
        <v>920</v>
      </c>
      <c r="G193" s="8">
        <f>LN(Table_dat150_[[#This Row],[Expenditure]])</f>
        <v>6.8243736700430864</v>
      </c>
      <c r="H193" s="9">
        <f t="shared" si="4"/>
        <v>-4.6632124352331605E-2</v>
      </c>
      <c r="I193" s="9">
        <f>(1+Table_dat150_[[#This Row],[gt]])^4 -1</f>
        <v>-0.17388205507083132</v>
      </c>
      <c r="J193" s="9">
        <f>$V$18+$V$19*Table_dat150_[[#This Row],[DecDate]]</f>
        <v>933.22149871518377</v>
      </c>
      <c r="K193" s="9">
        <f>$V$37+$V$38*Table_dat150_[[#This Row],[DecDate]]+$V$39*Table_dat150_[[#This Row],[DecDate2]]</f>
        <v>927.55780160344148</v>
      </c>
      <c r="L193" s="9">
        <f>$AF$18+$AF$19*Table_dat150_[[#This Row],[DecDate]]</f>
        <v>6.8331434688258605</v>
      </c>
      <c r="M193" s="9">
        <f>$AF$37+$AF$38*Table_dat150_[[#This Row],[DecDate]]+$AF$39*Table_dat150_[[#This Row],[DecDate2]]</f>
        <v>6.8314834187597029</v>
      </c>
      <c r="N193" s="9">
        <f>Table_dat150_[[#This Row],[LogExpenditure]]-Table_dat150_[[#This Row],[Log Quadratic Trend]]</f>
        <v>-7.1097487166165152E-3</v>
      </c>
      <c r="O193" s="9">
        <f t="shared" si="5"/>
        <v>2.4832012919648604E-2</v>
      </c>
      <c r="P193" s="9">
        <f>Table_dat150_[[#This Row],[Log Quadratic Trend]]+Table_dat150_[[#This Row],[Cycle]]</f>
        <v>6.8563154316793513</v>
      </c>
      <c r="Q193" s="9">
        <f>Table_dat150_[[#This Row],[LogExpenditure]]-Table_dat150_[[#This Row],[Log Quadratic Trend]]-Table_dat150_[[#This Row],[Cycle]]</f>
        <v>-3.1941761636265123E-2</v>
      </c>
      <c r="R193" s="9">
        <f>AVERAGEIF(Table_dat150_[Quarter], B193, Table_dat150_[High Frequency])</f>
        <v>-2.8472086212635514E-2</v>
      </c>
      <c r="S193" s="9">
        <f>Table_dat150_[[#This Row],[S0]]-AVERAGE($R$6:$R$9)</f>
        <v>-2.8378545544192432E-2</v>
      </c>
    </row>
    <row r="194" spans="1:19" x14ac:dyDescent="0.3">
      <c r="A194">
        <v>1998</v>
      </c>
      <c r="B194">
        <v>1</v>
      </c>
      <c r="C194" s="1">
        <f>DATE(Table_dat150_[[#This Row],[Year]],(Table_dat150_[[#This Row],[Quarter]]-1)*3+2,15)</f>
        <v>35841</v>
      </c>
      <c r="D194">
        <f>Table_dat150_[[#This Row],[Year]]+1/8+(Table_dat150_[[#This Row],[Quarter]]-1)/4</f>
        <v>1998.125</v>
      </c>
      <c r="E194">
        <f>Table_dat150_[[#This Row],[DecDate]]^2</f>
        <v>3992503.515625</v>
      </c>
      <c r="F194">
        <v>888</v>
      </c>
      <c r="G194" s="8">
        <f>LN(Table_dat150_[[#This Row],[Expenditure]])</f>
        <v>6.7889717429921701</v>
      </c>
      <c r="H194" s="9">
        <f t="shared" si="4"/>
        <v>-3.4782608695652174E-2</v>
      </c>
      <c r="I194" s="9">
        <f>(1+Table_dat150_[[#This Row],[gt]])^4 -1</f>
        <v>-0.1320383160437536</v>
      </c>
      <c r="J194" s="9">
        <f>$V$18+$V$19*Table_dat150_[[#This Row],[DecDate]]</f>
        <v>934.52715425901079</v>
      </c>
      <c r="K194" s="9">
        <f>$V$37+$V$38*Table_dat150_[[#This Row],[DecDate]]+$V$39*Table_dat150_[[#This Row],[DecDate2]]</f>
        <v>928.99606536810461</v>
      </c>
      <c r="L194" s="9">
        <f>$AF$18+$AF$19*Table_dat150_[[#This Row],[DecDate]]</f>
        <v>6.8346494975766356</v>
      </c>
      <c r="M194" s="9">
        <f>$AF$37+$AF$38*Table_dat150_[[#This Row],[DecDate]]+$AF$39*Table_dat150_[[#This Row],[DecDate2]]</f>
        <v>6.8330283154586411</v>
      </c>
      <c r="N194" s="9">
        <f>Table_dat150_[[#This Row],[LogExpenditure]]-Table_dat150_[[#This Row],[Log Quadratic Trend]]</f>
        <v>-4.4056572466470989E-2</v>
      </c>
      <c r="O194" s="9">
        <f t="shared" si="5"/>
        <v>2.189338235748952E-2</v>
      </c>
      <c r="P194" s="9">
        <f>Table_dat150_[[#This Row],[Log Quadratic Trend]]+Table_dat150_[[#This Row],[Cycle]]</f>
        <v>6.8549216978161303</v>
      </c>
      <c r="Q194" s="9">
        <f>Table_dat150_[[#This Row],[LogExpenditure]]-Table_dat150_[[#This Row],[Log Quadratic Trend]]-Table_dat150_[[#This Row],[Cycle]]</f>
        <v>-6.5949954823960516E-2</v>
      </c>
      <c r="R194" s="9">
        <f>AVERAGEIF(Table_dat150_[Quarter], B194, Table_dat150_[High Frequency])</f>
        <v>-4.2281954239907563E-2</v>
      </c>
      <c r="S194" s="9">
        <f>Table_dat150_[[#This Row],[S0]]-AVERAGE($R$6:$R$9)</f>
        <v>-4.2188413571464481E-2</v>
      </c>
    </row>
    <row r="195" spans="1:19" x14ac:dyDescent="0.3">
      <c r="A195">
        <v>1998</v>
      </c>
      <c r="B195">
        <v>2</v>
      </c>
      <c r="C195" s="1">
        <f>DATE(Table_dat150_[[#This Row],[Year]],(Table_dat150_[[#This Row],[Quarter]]-1)*3+2,15)</f>
        <v>35930</v>
      </c>
      <c r="D195">
        <f>Table_dat150_[[#This Row],[Year]]+1/8+(Table_dat150_[[#This Row],[Quarter]]-1)/4</f>
        <v>1998.375</v>
      </c>
      <c r="E195">
        <f>Table_dat150_[[#This Row],[DecDate]]^2</f>
        <v>3993502.640625</v>
      </c>
      <c r="F195">
        <v>973</v>
      </c>
      <c r="G195" s="8">
        <f>LN(Table_dat150_[[#This Row],[Expenditure]])</f>
        <v>6.8803840821860049</v>
      </c>
      <c r="H195" s="9">
        <f t="shared" ref="H195:H258" si="6">(F195-F194)/F194</f>
        <v>9.5720720720720714E-2</v>
      </c>
      <c r="I195" s="9">
        <f>(1+Table_dat150_[[#This Row],[gt]])^4 -1</f>
        <v>0.44144971945273825</v>
      </c>
      <c r="J195" s="9">
        <f>$V$18+$V$19*Table_dat150_[[#This Row],[DecDate]]</f>
        <v>935.83280980283598</v>
      </c>
      <c r="K195" s="9">
        <f>$V$37+$V$38*Table_dat150_[[#This Row],[DecDate]]+$V$39*Table_dat150_[[#This Row],[DecDate2]]</f>
        <v>930.43698129718541</v>
      </c>
      <c r="L195" s="9">
        <f>$AF$18+$AF$19*Table_dat150_[[#This Row],[DecDate]]</f>
        <v>6.8361555263274125</v>
      </c>
      <c r="M195" s="9">
        <f>$AF$37+$AF$38*Table_dat150_[[#This Row],[DecDate]]+$AF$39*Table_dat150_[[#This Row],[DecDate2]]</f>
        <v>6.8345739895165458</v>
      </c>
      <c r="N195" s="9">
        <f>Table_dat150_[[#This Row],[LogExpenditure]]-Table_dat150_[[#This Row],[Log Quadratic Trend]]</f>
        <v>4.5810092669459124E-2</v>
      </c>
      <c r="O195" s="9">
        <f t="shared" si="5"/>
        <v>1.0796822040404131E-2</v>
      </c>
      <c r="P195" s="9">
        <f>Table_dat150_[[#This Row],[Log Quadratic Trend]]+Table_dat150_[[#This Row],[Cycle]]</f>
        <v>6.8453708115569496</v>
      </c>
      <c r="Q195" s="9">
        <f>Table_dat150_[[#This Row],[LogExpenditure]]-Table_dat150_[[#This Row],[Log Quadratic Trend]]-Table_dat150_[[#This Row],[Cycle]]</f>
        <v>3.5013270629054995E-2</v>
      </c>
      <c r="R195" s="9">
        <f>AVERAGEIF(Table_dat150_[Quarter], B195, Table_dat150_[High Frequency])</f>
        <v>3.2923068860816217E-2</v>
      </c>
      <c r="S195" s="9">
        <f>Table_dat150_[[#This Row],[S0]]-AVERAGE($R$6:$R$9)</f>
        <v>3.3016609529259298E-2</v>
      </c>
    </row>
    <row r="196" spans="1:19" x14ac:dyDescent="0.3">
      <c r="A196">
        <v>1998</v>
      </c>
      <c r="B196">
        <v>3</v>
      </c>
      <c r="C196" s="1">
        <f>DATE(Table_dat150_[[#This Row],[Year]],(Table_dat150_[[#This Row],[Quarter]]-1)*3+2,15)</f>
        <v>36022</v>
      </c>
      <c r="D196">
        <f>Table_dat150_[[#This Row],[Year]]+1/8+(Table_dat150_[[#This Row],[Quarter]]-1)/4</f>
        <v>1998.625</v>
      </c>
      <c r="E196">
        <f>Table_dat150_[[#This Row],[DecDate]]^2</f>
        <v>3994501.890625</v>
      </c>
      <c r="F196">
        <v>1001</v>
      </c>
      <c r="G196" s="8">
        <f>LN(Table_dat150_[[#This Row],[Expenditure]])</f>
        <v>6.9087547793152204</v>
      </c>
      <c r="H196" s="9">
        <f t="shared" si="6"/>
        <v>2.8776978417266189E-2</v>
      </c>
      <c r="I196" s="9">
        <f>(1+Table_dat150_[[#This Row],[gt]])^4 -1</f>
        <v>0.12017260889449299</v>
      </c>
      <c r="J196" s="9">
        <f>$V$18+$V$19*Table_dat150_[[#This Row],[DecDate]]</f>
        <v>937.138465346663</v>
      </c>
      <c r="K196" s="9">
        <f>$V$37+$V$38*Table_dat150_[[#This Row],[DecDate]]+$V$39*Table_dat150_[[#This Row],[DecDate2]]</f>
        <v>931.88054939065478</v>
      </c>
      <c r="L196" s="9">
        <f>$AF$18+$AF$19*Table_dat150_[[#This Row],[DecDate]]</f>
        <v>6.8376615550781876</v>
      </c>
      <c r="M196" s="9">
        <f>$AF$37+$AF$38*Table_dat150_[[#This Row],[DecDate]]+$AF$39*Table_dat150_[[#This Row],[DecDate2]]</f>
        <v>6.83612044093341</v>
      </c>
      <c r="N196" s="9">
        <f>Table_dat150_[[#This Row],[LogExpenditure]]-Table_dat150_[[#This Row],[Log Quadratic Trend]]</f>
        <v>7.2634338381810437E-2</v>
      </c>
      <c r="O196" s="9">
        <f t="shared" si="5"/>
        <v>2.1699852133538755E-3</v>
      </c>
      <c r="P196" s="9">
        <f>Table_dat150_[[#This Row],[Log Quadratic Trend]]+Table_dat150_[[#This Row],[Cycle]]</f>
        <v>6.8382904261467639</v>
      </c>
      <c r="Q196" s="9">
        <f>Table_dat150_[[#This Row],[LogExpenditure]]-Table_dat150_[[#This Row],[Log Quadratic Trend]]-Table_dat150_[[#This Row],[Cycle]]</f>
        <v>7.0464353168456562E-2</v>
      </c>
      <c r="R196" s="9">
        <f>AVERAGEIF(Table_dat150_[Quarter], B196, Table_dat150_[High Frequency])</f>
        <v>3.7456808917954526E-2</v>
      </c>
      <c r="S196" s="9">
        <f>Table_dat150_[[#This Row],[S0]]-AVERAGE($R$6:$R$9)</f>
        <v>3.7550349586397608E-2</v>
      </c>
    </row>
    <row r="197" spans="1:19" x14ac:dyDescent="0.3">
      <c r="A197">
        <v>1998</v>
      </c>
      <c r="B197">
        <v>4</v>
      </c>
      <c r="C197" s="1">
        <f>DATE(Table_dat150_[[#This Row],[Year]],(Table_dat150_[[#This Row],[Quarter]]-1)*3+2,15)</f>
        <v>36114</v>
      </c>
      <c r="D197">
        <f>Table_dat150_[[#This Row],[Year]]+1/8+(Table_dat150_[[#This Row],[Quarter]]-1)/4</f>
        <v>1998.875</v>
      </c>
      <c r="E197">
        <f>Table_dat150_[[#This Row],[DecDate]]^2</f>
        <v>3995501.265625</v>
      </c>
      <c r="F197">
        <v>920</v>
      </c>
      <c r="G197" s="8">
        <f>LN(Table_dat150_[[#This Row],[Expenditure]])</f>
        <v>6.8243736700430864</v>
      </c>
      <c r="H197" s="9">
        <f t="shared" si="6"/>
        <v>-8.0919080919080913E-2</v>
      </c>
      <c r="I197" s="9">
        <f>(1+Table_dat150_[[#This Row],[gt]])^4 -1</f>
        <v>-0.28646546221322566</v>
      </c>
      <c r="J197" s="9">
        <f>$V$18+$V$19*Table_dat150_[[#This Row],[DecDate]]</f>
        <v>938.44412089049001</v>
      </c>
      <c r="K197" s="9">
        <f>$V$37+$V$38*Table_dat150_[[#This Row],[DecDate]]+$V$39*Table_dat150_[[#This Row],[DecDate2]]</f>
        <v>933.32676964857092</v>
      </c>
      <c r="L197" s="9">
        <f>$AF$18+$AF$19*Table_dat150_[[#This Row],[DecDate]]</f>
        <v>6.8391675838289627</v>
      </c>
      <c r="M197" s="9">
        <f>$AF$37+$AF$38*Table_dat150_[[#This Row],[DecDate]]+$AF$39*Table_dat150_[[#This Row],[DecDate2]]</f>
        <v>6.8376676697092478</v>
      </c>
      <c r="N197" s="9">
        <f>Table_dat150_[[#This Row],[LogExpenditure]]-Table_dat150_[[#This Row],[Log Quadratic Trend]]</f>
        <v>-1.3293999666161405E-2</v>
      </c>
      <c r="O197" s="9">
        <f t="shared" ref="O197:O260" si="7">AVERAGE(N195:N199)</f>
        <v>1.704666676119828E-2</v>
      </c>
      <c r="P197" s="9">
        <f>Table_dat150_[[#This Row],[Log Quadratic Trend]]+Table_dat150_[[#This Row],[Cycle]]</f>
        <v>6.8547143364704457</v>
      </c>
      <c r="Q197" s="9">
        <f>Table_dat150_[[#This Row],[LogExpenditure]]-Table_dat150_[[#This Row],[Log Quadratic Trend]]-Table_dat150_[[#This Row],[Cycle]]</f>
        <v>-3.0340666427359685E-2</v>
      </c>
      <c r="R197" s="9">
        <f>AVERAGEIF(Table_dat150_[Quarter], B197, Table_dat150_[High Frequency])</f>
        <v>-2.8472086212635514E-2</v>
      </c>
      <c r="S197" s="9">
        <f>Table_dat150_[[#This Row],[S0]]-AVERAGE($R$6:$R$9)</f>
        <v>-2.8378545544192432E-2</v>
      </c>
    </row>
    <row r="198" spans="1:19" x14ac:dyDescent="0.3">
      <c r="A198">
        <v>1999</v>
      </c>
      <c r="B198">
        <v>1</v>
      </c>
      <c r="C198" s="1">
        <f>DATE(Table_dat150_[[#This Row],[Year]],(Table_dat150_[[#This Row],[Quarter]]-1)*3+2,15)</f>
        <v>36206</v>
      </c>
      <c r="D198">
        <f>Table_dat150_[[#This Row],[Year]]+1/8+(Table_dat150_[[#This Row],[Quarter]]-1)/4</f>
        <v>1999.125</v>
      </c>
      <c r="E198">
        <f>Table_dat150_[[#This Row],[DecDate]]^2</f>
        <v>3996500.765625</v>
      </c>
      <c r="F198">
        <v>888</v>
      </c>
      <c r="G198" s="8">
        <f>LN(Table_dat150_[[#This Row],[Expenditure]])</f>
        <v>6.7889717429921701</v>
      </c>
      <c r="H198" s="9">
        <f t="shared" si="6"/>
        <v>-3.4782608695652174E-2</v>
      </c>
      <c r="I198" s="9">
        <f>(1+Table_dat150_[[#This Row],[gt]])^4 -1</f>
        <v>-0.1320383160437536</v>
      </c>
      <c r="J198" s="9">
        <f>$V$18+$V$19*Table_dat150_[[#This Row],[DecDate]]</f>
        <v>939.74977643431703</v>
      </c>
      <c r="K198" s="9">
        <f>$V$37+$V$38*Table_dat150_[[#This Row],[DecDate]]+$V$39*Table_dat150_[[#This Row],[DecDate2]]</f>
        <v>934.77564207090472</v>
      </c>
      <c r="L198" s="9">
        <f>$AF$18+$AF$19*Table_dat150_[[#This Row],[DecDate]]</f>
        <v>6.8406736125797378</v>
      </c>
      <c r="M198" s="9">
        <f>$AF$37+$AF$38*Table_dat150_[[#This Row],[DecDate]]+$AF$39*Table_dat150_[[#This Row],[DecDate2]]</f>
        <v>6.8392156758440379</v>
      </c>
      <c r="N198" s="9">
        <f>Table_dat150_[[#This Row],[LogExpenditure]]-Table_dat150_[[#This Row],[Log Quadratic Trend]]</f>
        <v>-5.024393285186779E-2</v>
      </c>
      <c r="O198" s="9">
        <f t="shared" si="7"/>
        <v>1.5704104917709218E-2</v>
      </c>
      <c r="P198" s="9">
        <f>Table_dat150_[[#This Row],[Log Quadratic Trend]]+Table_dat150_[[#This Row],[Cycle]]</f>
        <v>6.8549197807617475</v>
      </c>
      <c r="Q198" s="9">
        <f>Table_dat150_[[#This Row],[LogExpenditure]]-Table_dat150_[[#This Row],[Log Quadratic Trend]]-Table_dat150_[[#This Row],[Cycle]]</f>
        <v>-6.5948037769577E-2</v>
      </c>
      <c r="R198" s="9">
        <f>AVERAGEIF(Table_dat150_[Quarter], B198, Table_dat150_[High Frequency])</f>
        <v>-4.2281954239907563E-2</v>
      </c>
      <c r="S198" s="9">
        <f>Table_dat150_[[#This Row],[S0]]-AVERAGE($R$6:$R$9)</f>
        <v>-4.2188413571464481E-2</v>
      </c>
    </row>
    <row r="199" spans="1:19" x14ac:dyDescent="0.3">
      <c r="A199">
        <v>1999</v>
      </c>
      <c r="B199">
        <v>2</v>
      </c>
      <c r="C199" s="1">
        <f>DATE(Table_dat150_[[#This Row],[Year]],(Table_dat150_[[#This Row],[Quarter]]-1)*3+2,15)</f>
        <v>36295</v>
      </c>
      <c r="D199">
        <f>Table_dat150_[[#This Row],[Year]]+1/8+(Table_dat150_[[#This Row],[Quarter]]-1)/4</f>
        <v>1999.375</v>
      </c>
      <c r="E199">
        <f>Table_dat150_[[#This Row],[DecDate]]^2</f>
        <v>3997500.390625</v>
      </c>
      <c r="F199">
        <v>964</v>
      </c>
      <c r="G199" s="8">
        <f>LN(Table_dat150_[[#This Row],[Expenditure]])</f>
        <v>6.8710912946105456</v>
      </c>
      <c r="H199" s="9">
        <f t="shared" si="6"/>
        <v>8.5585585585585586E-2</v>
      </c>
      <c r="I199" s="9">
        <f>(1+Table_dat150_[[#This Row],[gt]])^4 -1</f>
        <v>0.38885297199423041</v>
      </c>
      <c r="J199" s="9">
        <f>$V$18+$V$19*Table_dat150_[[#This Row],[DecDate]]</f>
        <v>941.05543197814222</v>
      </c>
      <c r="K199" s="9">
        <f>$V$37+$V$38*Table_dat150_[[#This Row],[DecDate]]+$V$39*Table_dat150_[[#This Row],[DecDate2]]</f>
        <v>936.22716665764165</v>
      </c>
      <c r="L199" s="9">
        <f>$AF$18+$AF$19*Table_dat150_[[#This Row],[DecDate]]</f>
        <v>6.8421796413305129</v>
      </c>
      <c r="M199" s="9">
        <f>$AF$37+$AF$38*Table_dat150_[[#This Row],[DecDate]]+$AF$39*Table_dat150_[[#This Row],[DecDate2]]</f>
        <v>6.8407644593377945</v>
      </c>
      <c r="N199" s="9">
        <f>Table_dat150_[[#This Row],[LogExpenditure]]-Table_dat150_[[#This Row],[Log Quadratic Trend]]</f>
        <v>3.032683527275104E-2</v>
      </c>
      <c r="O199" s="9">
        <f t="shared" si="7"/>
        <v>-2.938409967956268E-3</v>
      </c>
      <c r="P199" s="9">
        <f>Table_dat150_[[#This Row],[Log Quadratic Trend]]+Table_dat150_[[#This Row],[Cycle]]</f>
        <v>6.8378260493698386</v>
      </c>
      <c r="Q199" s="9">
        <f>Table_dat150_[[#This Row],[LogExpenditure]]-Table_dat150_[[#This Row],[Log Quadratic Trend]]-Table_dat150_[[#This Row],[Cycle]]</f>
        <v>3.3265245240707307E-2</v>
      </c>
      <c r="R199" s="9">
        <f>AVERAGEIF(Table_dat150_[Quarter], B199, Table_dat150_[High Frequency])</f>
        <v>3.2923068860816217E-2</v>
      </c>
      <c r="S199" s="9">
        <f>Table_dat150_[[#This Row],[S0]]-AVERAGE($R$6:$R$9)</f>
        <v>3.3016609529259298E-2</v>
      </c>
    </row>
    <row r="200" spans="1:19" x14ac:dyDescent="0.3">
      <c r="A200">
        <v>1999</v>
      </c>
      <c r="B200">
        <v>3</v>
      </c>
      <c r="C200" s="1">
        <f>DATE(Table_dat150_[[#This Row],[Year]],(Table_dat150_[[#This Row],[Quarter]]-1)*3+2,15)</f>
        <v>36387</v>
      </c>
      <c r="D200">
        <f>Table_dat150_[[#This Row],[Year]]+1/8+(Table_dat150_[[#This Row],[Quarter]]-1)/4</f>
        <v>1999.625</v>
      </c>
      <c r="E200">
        <f>Table_dat150_[[#This Row],[DecDate]]^2</f>
        <v>3998500.140625</v>
      </c>
      <c r="F200">
        <v>974</v>
      </c>
      <c r="G200" s="8">
        <f>LN(Table_dat150_[[#This Row],[Expenditure]])</f>
        <v>6.8814113036425351</v>
      </c>
      <c r="H200" s="9">
        <f t="shared" si="6"/>
        <v>1.0373443983402489E-2</v>
      </c>
      <c r="I200" s="9">
        <f>(1+Table_dat150_[[#This Row],[gt]])^4 -1</f>
        <v>4.2143902629977248E-2</v>
      </c>
      <c r="J200" s="9">
        <f>$V$18+$V$19*Table_dat150_[[#This Row],[DecDate]]</f>
        <v>942.36108752196924</v>
      </c>
      <c r="K200" s="9">
        <f>$V$37+$V$38*Table_dat150_[[#This Row],[DecDate]]+$V$39*Table_dat150_[[#This Row],[DecDate2]]</f>
        <v>937.68134340881079</v>
      </c>
      <c r="L200" s="9">
        <f>$AF$18+$AF$19*Table_dat150_[[#This Row],[DecDate]]</f>
        <v>6.843685670081288</v>
      </c>
      <c r="M200" s="9">
        <f>$AF$37+$AF$38*Table_dat150_[[#This Row],[DecDate]]+$AF$39*Table_dat150_[[#This Row],[DecDate2]]</f>
        <v>6.8423140201905213</v>
      </c>
      <c r="N200" s="9">
        <f>Table_dat150_[[#This Row],[LogExpenditure]]-Table_dat150_[[#This Row],[Log Quadratic Trend]]</f>
        <v>3.9097283452013798E-2</v>
      </c>
      <c r="O200" s="9">
        <f t="shared" si="7"/>
        <v>-8.8837521644316905E-3</v>
      </c>
      <c r="P200" s="9">
        <f>Table_dat150_[[#This Row],[Log Quadratic Trend]]+Table_dat150_[[#This Row],[Cycle]]</f>
        <v>6.8334302680260892</v>
      </c>
      <c r="Q200" s="9">
        <f>Table_dat150_[[#This Row],[LogExpenditure]]-Table_dat150_[[#This Row],[Log Quadratic Trend]]-Table_dat150_[[#This Row],[Cycle]]</f>
        <v>4.798103561644549E-2</v>
      </c>
      <c r="R200" s="9">
        <f>AVERAGEIF(Table_dat150_[Quarter], B200, Table_dat150_[High Frequency])</f>
        <v>3.7456808917954526E-2</v>
      </c>
      <c r="S200" s="9">
        <f>Table_dat150_[[#This Row],[S0]]-AVERAGE($R$6:$R$9)</f>
        <v>3.7550349586397608E-2</v>
      </c>
    </row>
    <row r="201" spans="1:19" x14ac:dyDescent="0.3">
      <c r="A201">
        <v>1999</v>
      </c>
      <c r="B201">
        <v>4</v>
      </c>
      <c r="C201" s="1">
        <f>DATE(Table_dat150_[[#This Row],[Year]],(Table_dat150_[[#This Row],[Quarter]]-1)*3+2,15)</f>
        <v>36479</v>
      </c>
      <c r="D201">
        <f>Table_dat150_[[#This Row],[Year]]+1/8+(Table_dat150_[[#This Row],[Quarter]]-1)/4</f>
        <v>1999.875</v>
      </c>
      <c r="E201">
        <f>Table_dat150_[[#This Row],[DecDate]]^2</f>
        <v>3999500.015625</v>
      </c>
      <c r="F201">
        <v>919</v>
      </c>
      <c r="G201" s="8">
        <f>LN(Table_dat150_[[#This Row],[Expenditure]])</f>
        <v>6.8232861223556869</v>
      </c>
      <c r="H201" s="9">
        <f t="shared" si="6"/>
        <v>-5.6468172484599587E-2</v>
      </c>
      <c r="I201" s="9">
        <f>(1+Table_dat150_[[#This Row],[gt]])^4 -1</f>
        <v>-0.20745082536839732</v>
      </c>
      <c r="J201" s="9">
        <f>$V$18+$V$19*Table_dat150_[[#This Row],[DecDate]]</f>
        <v>943.66674306579625</v>
      </c>
      <c r="K201" s="9">
        <f>$V$37+$V$38*Table_dat150_[[#This Row],[DecDate]]+$V$39*Table_dat150_[[#This Row],[DecDate2]]</f>
        <v>939.13817232438305</v>
      </c>
      <c r="L201" s="9">
        <f>$AF$18+$AF$19*Table_dat150_[[#This Row],[DecDate]]</f>
        <v>6.8451916988320649</v>
      </c>
      <c r="M201" s="9">
        <f>$AF$37+$AF$38*Table_dat150_[[#This Row],[DecDate]]+$AF$39*Table_dat150_[[#This Row],[DecDate2]]</f>
        <v>6.8438643584022039</v>
      </c>
      <c r="N201" s="9">
        <f>Table_dat150_[[#This Row],[LogExpenditure]]-Table_dat150_[[#This Row],[Log Quadratic Trend]]</f>
        <v>-2.0578236046516984E-2</v>
      </c>
      <c r="O201" s="9">
        <f t="shared" si="7"/>
        <v>7.8483774626498352E-3</v>
      </c>
      <c r="P201" s="9">
        <f>Table_dat150_[[#This Row],[Log Quadratic Trend]]+Table_dat150_[[#This Row],[Cycle]]</f>
        <v>6.8517127358648535</v>
      </c>
      <c r="Q201" s="9">
        <f>Table_dat150_[[#This Row],[LogExpenditure]]-Table_dat150_[[#This Row],[Log Quadratic Trend]]-Table_dat150_[[#This Row],[Cycle]]</f>
        <v>-2.842661350916682E-2</v>
      </c>
      <c r="R201" s="9">
        <f>AVERAGEIF(Table_dat150_[Quarter], B201, Table_dat150_[High Frequency])</f>
        <v>-2.8472086212635514E-2</v>
      </c>
      <c r="S201" s="9">
        <f>Table_dat150_[[#This Row],[S0]]-AVERAGE($R$6:$R$9)</f>
        <v>-2.8378545544192432E-2</v>
      </c>
    </row>
    <row r="202" spans="1:19" x14ac:dyDescent="0.3">
      <c r="A202">
        <v>2000</v>
      </c>
      <c r="B202">
        <v>1</v>
      </c>
      <c r="C202" s="1">
        <f>DATE(Table_dat150_[[#This Row],[Year]],(Table_dat150_[[#This Row],[Quarter]]-1)*3+2,15)</f>
        <v>36571</v>
      </c>
      <c r="D202">
        <f>Table_dat150_[[#This Row],[Year]]+1/8+(Table_dat150_[[#This Row],[Quarter]]-1)/4</f>
        <v>2000.125</v>
      </c>
      <c r="E202">
        <f>Table_dat150_[[#This Row],[DecDate]]^2</f>
        <v>4000500.015625</v>
      </c>
      <c r="F202">
        <v>900</v>
      </c>
      <c r="G202" s="8">
        <f>LN(Table_dat150_[[#This Row],[Expenditure]])</f>
        <v>6.8023947633243109</v>
      </c>
      <c r="H202" s="9">
        <f t="shared" si="6"/>
        <v>-2.0674646354733407E-2</v>
      </c>
      <c r="I202" s="9">
        <f>(1+Table_dat150_[[#This Row],[gt]])^4 -1</f>
        <v>-8.0169105467970292E-2</v>
      </c>
      <c r="J202" s="9">
        <f>$V$18+$V$19*Table_dat150_[[#This Row],[DecDate]]</f>
        <v>944.97239860962145</v>
      </c>
      <c r="K202" s="9">
        <f>$V$37+$V$38*Table_dat150_[[#This Row],[DecDate]]+$V$39*Table_dat150_[[#This Row],[DecDate2]]</f>
        <v>940.59765340438753</v>
      </c>
      <c r="L202" s="9">
        <f>$AF$18+$AF$19*Table_dat150_[[#This Row],[DecDate]]</f>
        <v>6.84669772758284</v>
      </c>
      <c r="M202" s="9">
        <f>$AF$37+$AF$38*Table_dat150_[[#This Row],[DecDate]]+$AF$39*Table_dat150_[[#This Row],[DecDate2]]</f>
        <v>6.8454154739728494</v>
      </c>
      <c r="N202" s="9">
        <f>Table_dat150_[[#This Row],[LogExpenditure]]-Table_dat150_[[#This Row],[Log Quadratic Trend]]</f>
        <v>-4.3020710648538518E-2</v>
      </c>
      <c r="O202" s="9">
        <f t="shared" si="7"/>
        <v>6.5046232376895219E-3</v>
      </c>
      <c r="P202" s="9">
        <f>Table_dat150_[[#This Row],[Log Quadratic Trend]]+Table_dat150_[[#This Row],[Cycle]]</f>
        <v>6.851920097210539</v>
      </c>
      <c r="Q202" s="9">
        <f>Table_dat150_[[#This Row],[LogExpenditure]]-Table_dat150_[[#This Row],[Log Quadratic Trend]]-Table_dat150_[[#This Row],[Cycle]]</f>
        <v>-4.952533388622804E-2</v>
      </c>
      <c r="R202" s="9">
        <f>AVERAGEIF(Table_dat150_[Quarter], B202, Table_dat150_[High Frequency])</f>
        <v>-4.2281954239907563E-2</v>
      </c>
      <c r="S202" s="9">
        <f>Table_dat150_[[#This Row],[S0]]-AVERAGE($R$6:$R$9)</f>
        <v>-4.2188413571464481E-2</v>
      </c>
    </row>
    <row r="203" spans="1:19" x14ac:dyDescent="0.3">
      <c r="A203">
        <v>2000</v>
      </c>
      <c r="B203">
        <v>2</v>
      </c>
      <c r="C203" s="1">
        <f>DATE(Table_dat150_[[#This Row],[Year]],(Table_dat150_[[#This Row],[Quarter]]-1)*3+2,15)</f>
        <v>36661</v>
      </c>
      <c r="D203">
        <f>Table_dat150_[[#This Row],[Year]]+1/8+(Table_dat150_[[#This Row],[Quarter]]-1)/4</f>
        <v>2000.375</v>
      </c>
      <c r="E203">
        <f>Table_dat150_[[#This Row],[DecDate]]^2</f>
        <v>4001500.140625</v>
      </c>
      <c r="F203">
        <v>973</v>
      </c>
      <c r="G203" s="8">
        <f>LN(Table_dat150_[[#This Row],[Expenditure]])</f>
        <v>6.8803840821860049</v>
      </c>
      <c r="H203" s="9">
        <f t="shared" si="6"/>
        <v>8.1111111111111106E-2</v>
      </c>
      <c r="I203" s="9">
        <f>(1+Table_dat150_[[#This Row],[gt]])^4 -1</f>
        <v>0.36609632592745034</v>
      </c>
      <c r="J203" s="9">
        <f>$V$18+$V$19*Table_dat150_[[#This Row],[DecDate]]</f>
        <v>946.27805415344847</v>
      </c>
      <c r="K203" s="9">
        <f>$V$37+$V$38*Table_dat150_[[#This Row],[DecDate]]+$V$39*Table_dat150_[[#This Row],[DecDate2]]</f>
        <v>942.05978664876602</v>
      </c>
      <c r="L203" s="9">
        <f>$AF$18+$AF$19*Table_dat150_[[#This Row],[DecDate]]</f>
        <v>6.8482037563336151</v>
      </c>
      <c r="M203" s="9">
        <f>$AF$37+$AF$38*Table_dat150_[[#This Row],[DecDate]]+$AF$39*Table_dat150_[[#This Row],[DecDate2]]</f>
        <v>6.8469673669024651</v>
      </c>
      <c r="N203" s="9">
        <f>Table_dat150_[[#This Row],[LogExpenditure]]-Table_dat150_[[#This Row],[Log Quadratic Trend]]</f>
        <v>3.3416715283539844E-2</v>
      </c>
      <c r="O203" s="9">
        <f t="shared" si="7"/>
        <v>-5.803683519857117E-3</v>
      </c>
      <c r="P203" s="9">
        <f>Table_dat150_[[#This Row],[Log Quadratic Trend]]+Table_dat150_[[#This Row],[Cycle]]</f>
        <v>6.8411636833826082</v>
      </c>
      <c r="Q203" s="9">
        <f>Table_dat150_[[#This Row],[LogExpenditure]]-Table_dat150_[[#This Row],[Log Quadratic Trend]]-Table_dat150_[[#This Row],[Cycle]]</f>
        <v>3.9220398803396964E-2</v>
      </c>
      <c r="R203" s="9">
        <f>AVERAGEIF(Table_dat150_[Quarter], B203, Table_dat150_[High Frequency])</f>
        <v>3.2923068860816217E-2</v>
      </c>
      <c r="S203" s="9">
        <f>Table_dat150_[[#This Row],[S0]]-AVERAGE($R$6:$R$9)</f>
        <v>3.3016609529259298E-2</v>
      </c>
    </row>
    <row r="204" spans="1:19" x14ac:dyDescent="0.3">
      <c r="A204">
        <v>2000</v>
      </c>
      <c r="B204">
        <v>3</v>
      </c>
      <c r="C204" s="1">
        <f>DATE(Table_dat150_[[#This Row],[Year]],(Table_dat150_[[#This Row],[Quarter]]-1)*3+2,15)</f>
        <v>36753</v>
      </c>
      <c r="D204">
        <f>Table_dat150_[[#This Row],[Year]]+1/8+(Table_dat150_[[#This Row],[Quarter]]-1)/4</f>
        <v>2000.625</v>
      </c>
      <c r="E204">
        <f>Table_dat150_[[#This Row],[DecDate]]^2</f>
        <v>4002500.390625</v>
      </c>
      <c r="F204">
        <v>965</v>
      </c>
      <c r="G204" s="8">
        <f>LN(Table_dat150_[[#This Row],[Expenditure]])</f>
        <v>6.8721281013389861</v>
      </c>
      <c r="H204" s="9">
        <f t="shared" si="6"/>
        <v>-8.2219938335046251E-3</v>
      </c>
      <c r="I204" s="9">
        <f>(1+Table_dat150_[[#This Row],[gt]])^4 -1</f>
        <v>-3.2484586934535375E-2</v>
      </c>
      <c r="J204" s="9">
        <f>$V$18+$V$19*Table_dat150_[[#This Row],[DecDate]]</f>
        <v>947.58370969727548</v>
      </c>
      <c r="K204" s="9">
        <f>$V$37+$V$38*Table_dat150_[[#This Row],[DecDate]]+$V$39*Table_dat150_[[#This Row],[DecDate2]]</f>
        <v>943.52457205760584</v>
      </c>
      <c r="L204" s="9">
        <f>$AF$18+$AF$19*Table_dat150_[[#This Row],[DecDate]]</f>
        <v>6.8497097850843902</v>
      </c>
      <c r="M204" s="9">
        <f>$AF$37+$AF$38*Table_dat150_[[#This Row],[DecDate]]+$AF$39*Table_dat150_[[#This Row],[DecDate2]]</f>
        <v>6.8485200371910366</v>
      </c>
      <c r="N204" s="9">
        <f>Table_dat150_[[#This Row],[LogExpenditure]]-Table_dat150_[[#This Row],[Log Quadratic Trend]]</f>
        <v>2.360806414794947E-2</v>
      </c>
      <c r="O204" s="9">
        <f t="shared" si="7"/>
        <v>-1.2202405867810384E-2</v>
      </c>
      <c r="P204" s="9">
        <f>Table_dat150_[[#This Row],[Log Quadratic Trend]]+Table_dat150_[[#This Row],[Cycle]]</f>
        <v>6.8363176313232259</v>
      </c>
      <c r="Q204" s="9">
        <f>Table_dat150_[[#This Row],[LogExpenditure]]-Table_dat150_[[#This Row],[Log Quadratic Trend]]-Table_dat150_[[#This Row],[Cycle]]</f>
        <v>3.5810470015759856E-2</v>
      </c>
      <c r="R204" s="9">
        <f>AVERAGEIF(Table_dat150_[Quarter], B204, Table_dat150_[High Frequency])</f>
        <v>3.7456808917954526E-2</v>
      </c>
      <c r="S204" s="9">
        <f>Table_dat150_[[#This Row],[S0]]-AVERAGE($R$6:$R$9)</f>
        <v>3.7550349586397608E-2</v>
      </c>
    </row>
    <row r="205" spans="1:19" x14ac:dyDescent="0.3">
      <c r="A205">
        <v>2000</v>
      </c>
      <c r="B205">
        <v>4</v>
      </c>
      <c r="C205" s="1">
        <f>DATE(Table_dat150_[[#This Row],[Year]],(Table_dat150_[[#This Row],[Quarter]]-1)*3+2,15)</f>
        <v>36845</v>
      </c>
      <c r="D205">
        <f>Table_dat150_[[#This Row],[Year]]+1/8+(Table_dat150_[[#This Row],[Quarter]]-1)/4</f>
        <v>2000.875</v>
      </c>
      <c r="E205">
        <f>Table_dat150_[[#This Row],[DecDate]]^2</f>
        <v>4003500.765625</v>
      </c>
      <c r="F205">
        <v>923</v>
      </c>
      <c r="G205" s="8">
        <f>LN(Table_dat150_[[#This Row],[Expenditure]])</f>
        <v>6.8276292345028518</v>
      </c>
      <c r="H205" s="9">
        <f t="shared" si="6"/>
        <v>-4.3523316062176166E-2</v>
      </c>
      <c r="I205" s="9">
        <f>(1+Table_dat150_[[#This Row],[gt]])^4 -1</f>
        <v>-0.16305378293098483</v>
      </c>
      <c r="J205" s="9">
        <f>$V$18+$V$19*Table_dat150_[[#This Row],[DecDate]]</f>
        <v>948.88936524110068</v>
      </c>
      <c r="K205" s="9">
        <f>$V$37+$V$38*Table_dat150_[[#This Row],[DecDate]]+$V$39*Table_dat150_[[#This Row],[DecDate2]]</f>
        <v>944.99200963084877</v>
      </c>
      <c r="L205" s="9">
        <f>$AF$18+$AF$19*Table_dat150_[[#This Row],[DecDate]]</f>
        <v>6.8512158138351653</v>
      </c>
      <c r="M205" s="9">
        <f>$AF$37+$AF$38*Table_dat150_[[#This Row],[DecDate]]+$AF$39*Table_dat150_[[#This Row],[DecDate2]]</f>
        <v>6.8500734848385711</v>
      </c>
      <c r="N205" s="9">
        <f>Table_dat150_[[#This Row],[LogExpenditure]]-Table_dat150_[[#This Row],[Log Quadratic Trend]]</f>
        <v>-2.2444250335719396E-2</v>
      </c>
      <c r="O205" s="9">
        <f t="shared" si="7"/>
        <v>2.047454548296379E-3</v>
      </c>
      <c r="P205" s="9">
        <f>Table_dat150_[[#This Row],[Log Quadratic Trend]]+Table_dat150_[[#This Row],[Cycle]]</f>
        <v>6.8521209393868672</v>
      </c>
      <c r="Q205" s="9">
        <f>Table_dat150_[[#This Row],[LogExpenditure]]-Table_dat150_[[#This Row],[Log Quadratic Trend]]-Table_dat150_[[#This Row],[Cycle]]</f>
        <v>-2.4491704884015773E-2</v>
      </c>
      <c r="R205" s="9">
        <f>AVERAGEIF(Table_dat150_[Quarter], B205, Table_dat150_[High Frequency])</f>
        <v>-2.8472086212635514E-2</v>
      </c>
      <c r="S205" s="9">
        <f>Table_dat150_[[#This Row],[S0]]-AVERAGE($R$6:$R$9)</f>
        <v>-2.8378545544192432E-2</v>
      </c>
    </row>
    <row r="206" spans="1:19" x14ac:dyDescent="0.3">
      <c r="A206">
        <v>2001</v>
      </c>
      <c r="B206">
        <v>1</v>
      </c>
      <c r="C206" s="1">
        <f>DATE(Table_dat150_[[#This Row],[Year]],(Table_dat150_[[#This Row],[Quarter]]-1)*3+2,15)</f>
        <v>36937</v>
      </c>
      <c r="D206">
        <f>Table_dat150_[[#This Row],[Year]]+1/8+(Table_dat150_[[#This Row],[Quarter]]-1)/4</f>
        <v>2001.125</v>
      </c>
      <c r="E206">
        <f>Table_dat150_[[#This Row],[DecDate]]^2</f>
        <v>4004501.265625</v>
      </c>
      <c r="F206">
        <v>897</v>
      </c>
      <c r="G206" s="8">
        <f>LN(Table_dat150_[[#This Row],[Expenditure]])</f>
        <v>6.799055862058796</v>
      </c>
      <c r="H206" s="9">
        <f t="shared" si="6"/>
        <v>-2.8169014084507043E-2</v>
      </c>
      <c r="I206" s="9">
        <f>(1+Table_dat150_[[#This Row],[gt]])^4 -1</f>
        <v>-0.10800387428128011</v>
      </c>
      <c r="J206" s="9">
        <f>$V$18+$V$19*Table_dat150_[[#This Row],[DecDate]]</f>
        <v>950.19502078492769</v>
      </c>
      <c r="K206" s="9">
        <f>$V$37+$V$38*Table_dat150_[[#This Row],[DecDate]]+$V$39*Table_dat150_[[#This Row],[DecDate2]]</f>
        <v>946.46209936850937</v>
      </c>
      <c r="L206" s="9">
        <f>$AF$18+$AF$19*Table_dat150_[[#This Row],[DecDate]]</f>
        <v>6.8527218425859404</v>
      </c>
      <c r="M206" s="9">
        <f>$AF$37+$AF$38*Table_dat150_[[#This Row],[DecDate]]+$AF$39*Table_dat150_[[#This Row],[DecDate2]]</f>
        <v>6.8516277098450793</v>
      </c>
      <c r="N206" s="9">
        <f>Table_dat150_[[#This Row],[LogExpenditure]]-Table_dat150_[[#This Row],[Log Quadratic Trend]]</f>
        <v>-5.2571847786283321E-2</v>
      </c>
      <c r="O206" s="9">
        <f t="shared" si="7"/>
        <v>-4.9237682581892983E-3</v>
      </c>
      <c r="P206" s="9">
        <f>Table_dat150_[[#This Row],[Log Quadratic Trend]]+Table_dat150_[[#This Row],[Cycle]]</f>
        <v>6.84670394158689</v>
      </c>
      <c r="Q206" s="9">
        <f>Table_dat150_[[#This Row],[LogExpenditure]]-Table_dat150_[[#This Row],[Log Quadratic Trend]]-Table_dat150_[[#This Row],[Cycle]]</f>
        <v>-4.7648079528094023E-2</v>
      </c>
      <c r="R206" s="9">
        <f>AVERAGEIF(Table_dat150_[Quarter], B206, Table_dat150_[High Frequency])</f>
        <v>-4.2281954239907563E-2</v>
      </c>
      <c r="S206" s="9">
        <f>Table_dat150_[[#This Row],[S0]]-AVERAGE($R$6:$R$9)</f>
        <v>-4.2188413571464481E-2</v>
      </c>
    </row>
    <row r="207" spans="1:19" x14ac:dyDescent="0.3">
      <c r="A207">
        <v>2001</v>
      </c>
      <c r="B207">
        <v>2</v>
      </c>
      <c r="C207" s="1">
        <f>DATE(Table_dat150_[[#This Row],[Year]],(Table_dat150_[[#This Row],[Quarter]]-1)*3+2,15)</f>
        <v>37026</v>
      </c>
      <c r="D207">
        <f>Table_dat150_[[#This Row],[Year]]+1/8+(Table_dat150_[[#This Row],[Quarter]]-1)/4</f>
        <v>2001.375</v>
      </c>
      <c r="E207">
        <f>Table_dat150_[[#This Row],[DecDate]]^2</f>
        <v>4005501.890625</v>
      </c>
      <c r="F207">
        <v>974</v>
      </c>
      <c r="G207" s="8">
        <f>LN(Table_dat150_[[#This Row],[Expenditure]])</f>
        <v>6.8814113036425351</v>
      </c>
      <c r="H207" s="9">
        <f t="shared" si="6"/>
        <v>8.5841694537346705E-2</v>
      </c>
      <c r="I207" s="9">
        <f>(1+Table_dat150_[[#This Row],[gt]])^4 -1</f>
        <v>0.39016405635808371</v>
      </c>
      <c r="J207" s="9">
        <f>$V$18+$V$19*Table_dat150_[[#This Row],[DecDate]]</f>
        <v>951.50067632875471</v>
      </c>
      <c r="K207" s="9">
        <f>$V$37+$V$38*Table_dat150_[[#This Row],[DecDate]]+$V$39*Table_dat150_[[#This Row],[DecDate2]]</f>
        <v>947.93484127058764</v>
      </c>
      <c r="L207" s="9">
        <f>$AF$18+$AF$19*Table_dat150_[[#This Row],[DecDate]]</f>
        <v>6.8542278713367173</v>
      </c>
      <c r="M207" s="9">
        <f>$AF$37+$AF$38*Table_dat150_[[#This Row],[DecDate]]+$AF$39*Table_dat150_[[#This Row],[DecDate2]]</f>
        <v>6.8531827122105398</v>
      </c>
      <c r="N207" s="9">
        <f>Table_dat150_[[#This Row],[LogExpenditure]]-Table_dat150_[[#This Row],[Log Quadratic Trend]]</f>
        <v>2.8228591431995298E-2</v>
      </c>
      <c r="O207" s="9">
        <f t="shared" si="7"/>
        <v>-1.2154401090205625E-2</v>
      </c>
      <c r="P207" s="9">
        <f>Table_dat150_[[#This Row],[Log Quadratic Trend]]+Table_dat150_[[#This Row],[Cycle]]</f>
        <v>6.8410283111203345</v>
      </c>
      <c r="Q207" s="9">
        <f>Table_dat150_[[#This Row],[LogExpenditure]]-Table_dat150_[[#This Row],[Log Quadratic Trend]]-Table_dat150_[[#This Row],[Cycle]]</f>
        <v>4.0382992522200921E-2</v>
      </c>
      <c r="R207" s="9">
        <f>AVERAGEIF(Table_dat150_[Quarter], B207, Table_dat150_[High Frequency])</f>
        <v>3.2923068860816217E-2</v>
      </c>
      <c r="S207" s="9">
        <f>Table_dat150_[[#This Row],[S0]]-AVERAGE($R$6:$R$9)</f>
        <v>3.3016609529259298E-2</v>
      </c>
    </row>
    <row r="208" spans="1:19" x14ac:dyDescent="0.3">
      <c r="A208">
        <v>2001</v>
      </c>
      <c r="B208">
        <v>3</v>
      </c>
      <c r="C208" s="1">
        <f>DATE(Table_dat150_[[#This Row],[Year]],(Table_dat150_[[#This Row],[Quarter]]-1)*3+2,15)</f>
        <v>37118</v>
      </c>
      <c r="D208">
        <f>Table_dat150_[[#This Row],[Year]]+1/8+(Table_dat150_[[#This Row],[Quarter]]-1)/4</f>
        <v>2001.625</v>
      </c>
      <c r="E208">
        <f>Table_dat150_[[#This Row],[DecDate]]^2</f>
        <v>4006502.640625</v>
      </c>
      <c r="F208">
        <v>947</v>
      </c>
      <c r="G208" s="8">
        <f>LN(Table_dat150_[[#This Row],[Expenditure]])</f>
        <v>6.8532990931860782</v>
      </c>
      <c r="H208" s="9">
        <f t="shared" si="6"/>
        <v>-2.7720739219712527E-2</v>
      </c>
      <c r="I208" s="9">
        <f>(1+Table_dat150_[[#This Row],[gt]])^4 -1</f>
        <v>-0.10635693691339776</v>
      </c>
      <c r="J208" s="9">
        <f>$V$18+$V$19*Table_dat150_[[#This Row],[DecDate]]</f>
        <v>952.80633187258172</v>
      </c>
      <c r="K208" s="9">
        <f>$V$37+$V$38*Table_dat150_[[#This Row],[DecDate]]+$V$39*Table_dat150_[[#This Row],[DecDate2]]</f>
        <v>949.41023533708358</v>
      </c>
      <c r="L208" s="9">
        <f>$AF$18+$AF$19*Table_dat150_[[#This Row],[DecDate]]</f>
        <v>6.8557339000874924</v>
      </c>
      <c r="M208" s="9">
        <f>$AF$37+$AF$38*Table_dat150_[[#This Row],[DecDate]]+$AF$39*Table_dat150_[[#This Row],[DecDate2]]</f>
        <v>6.8547384919349668</v>
      </c>
      <c r="N208" s="9">
        <f>Table_dat150_[[#This Row],[LogExpenditure]]-Table_dat150_[[#This Row],[Log Quadratic Trend]]</f>
        <v>-1.4393987488885429E-3</v>
      </c>
      <c r="O208" s="9">
        <f t="shared" si="7"/>
        <v>-1.4361293706587119E-2</v>
      </c>
      <c r="P208" s="9">
        <f>Table_dat150_[[#This Row],[Log Quadratic Trend]]+Table_dat150_[[#This Row],[Cycle]]</f>
        <v>6.8403771982283796</v>
      </c>
      <c r="Q208" s="9">
        <f>Table_dat150_[[#This Row],[LogExpenditure]]-Table_dat150_[[#This Row],[Log Quadratic Trend]]-Table_dat150_[[#This Row],[Cycle]]</f>
        <v>1.2921894957698576E-2</v>
      </c>
      <c r="R208" s="9">
        <f>AVERAGEIF(Table_dat150_[Quarter], B208, Table_dat150_[High Frequency])</f>
        <v>3.7456808917954526E-2</v>
      </c>
      <c r="S208" s="9">
        <f>Table_dat150_[[#This Row],[S0]]-AVERAGE($R$6:$R$9)</f>
        <v>3.7550349586397608E-2</v>
      </c>
    </row>
    <row r="209" spans="1:19" x14ac:dyDescent="0.3">
      <c r="A209">
        <v>2001</v>
      </c>
      <c r="B209">
        <v>4</v>
      </c>
      <c r="C209" s="1">
        <f>DATE(Table_dat150_[[#This Row],[Year]],(Table_dat150_[[#This Row],[Quarter]]-1)*3+2,15)</f>
        <v>37210</v>
      </c>
      <c r="D209">
        <f>Table_dat150_[[#This Row],[Year]]+1/8+(Table_dat150_[[#This Row],[Quarter]]-1)/4</f>
        <v>2001.875</v>
      </c>
      <c r="E209">
        <f>Table_dat150_[[#This Row],[DecDate]]^2</f>
        <v>4007503.515625</v>
      </c>
      <c r="F209">
        <v>938</v>
      </c>
      <c r="G209" s="8">
        <f>LN(Table_dat150_[[#This Row],[Expenditure]])</f>
        <v>6.8437499490062246</v>
      </c>
      <c r="H209" s="9">
        <f t="shared" si="6"/>
        <v>-9.5036958817317843E-3</v>
      </c>
      <c r="I209" s="9">
        <f>(1+Table_dat150_[[#This Row],[gt]])^4 -1</f>
        <v>-3.7476287460905033E-2</v>
      </c>
      <c r="J209" s="9">
        <f>$V$18+$V$19*Table_dat150_[[#This Row],[DecDate]]</f>
        <v>954.11198741640692</v>
      </c>
      <c r="K209" s="9">
        <f>$V$37+$V$38*Table_dat150_[[#This Row],[DecDate]]+$V$39*Table_dat150_[[#This Row],[DecDate2]]</f>
        <v>950.88828156796808</v>
      </c>
      <c r="L209" s="9">
        <f>$AF$18+$AF$19*Table_dat150_[[#This Row],[DecDate]]</f>
        <v>6.8572399288382675</v>
      </c>
      <c r="M209" s="9">
        <f>$AF$37+$AF$38*Table_dat150_[[#This Row],[DecDate]]+$AF$39*Table_dat150_[[#This Row],[DecDate2]]</f>
        <v>6.8562950490183567</v>
      </c>
      <c r="N209" s="9">
        <f>Table_dat150_[[#This Row],[LogExpenditure]]-Table_dat150_[[#This Row],[Log Quadratic Trend]]</f>
        <v>-1.254510001213216E-2</v>
      </c>
      <c r="O209" s="9">
        <f t="shared" si="7"/>
        <v>-6.1279682864636698E-3</v>
      </c>
      <c r="P209" s="9">
        <f>Table_dat150_[[#This Row],[Log Quadratic Trend]]+Table_dat150_[[#This Row],[Cycle]]</f>
        <v>6.8501670807318931</v>
      </c>
      <c r="Q209" s="9">
        <f>Table_dat150_[[#This Row],[LogExpenditure]]-Table_dat150_[[#This Row],[Log Quadratic Trend]]-Table_dat150_[[#This Row],[Cycle]]</f>
        <v>-6.4171317256684901E-3</v>
      </c>
      <c r="R209" s="9">
        <f>AVERAGEIF(Table_dat150_[Quarter], B209, Table_dat150_[High Frequency])</f>
        <v>-2.8472086212635514E-2</v>
      </c>
      <c r="S209" s="9">
        <f>Table_dat150_[[#This Row],[S0]]-AVERAGE($R$6:$R$9)</f>
        <v>-2.8378545544192432E-2</v>
      </c>
    </row>
    <row r="210" spans="1:19" x14ac:dyDescent="0.3">
      <c r="A210">
        <v>2002</v>
      </c>
      <c r="B210">
        <v>1</v>
      </c>
      <c r="C210" s="1">
        <f>DATE(Table_dat150_[[#This Row],[Year]],(Table_dat150_[[#This Row],[Quarter]]-1)*3+2,15)</f>
        <v>37302</v>
      </c>
      <c r="D210">
        <f>Table_dat150_[[#This Row],[Year]]+1/8+(Table_dat150_[[#This Row],[Quarter]]-1)/4</f>
        <v>2002.125</v>
      </c>
      <c r="E210">
        <f>Table_dat150_[[#This Row],[DecDate]]^2</f>
        <v>4008504.515625</v>
      </c>
      <c r="F210">
        <v>920</v>
      </c>
      <c r="G210" s="8">
        <f>LN(Table_dat150_[[#This Row],[Expenditure]])</f>
        <v>6.8243736700430864</v>
      </c>
      <c r="H210" s="9">
        <f t="shared" si="6"/>
        <v>-1.9189765458422176E-2</v>
      </c>
      <c r="I210" s="9">
        <f>(1+Table_dat150_[[#This Row],[gt]])^4 -1</f>
        <v>-7.4577709939460113E-2</v>
      </c>
      <c r="J210" s="9">
        <f>$V$18+$V$19*Table_dat150_[[#This Row],[DecDate]]</f>
        <v>955.41764296023393</v>
      </c>
      <c r="K210" s="9">
        <f>$V$37+$V$38*Table_dat150_[[#This Row],[DecDate]]+$V$39*Table_dat150_[[#This Row],[DecDate2]]</f>
        <v>952.36897996329935</v>
      </c>
      <c r="L210" s="9">
        <f>$AF$18+$AF$19*Table_dat150_[[#This Row],[DecDate]]</f>
        <v>6.8587459575890426</v>
      </c>
      <c r="M210" s="9">
        <f>$AF$37+$AF$38*Table_dat150_[[#This Row],[DecDate]]+$AF$39*Table_dat150_[[#This Row],[DecDate2]]</f>
        <v>6.8578523834607132</v>
      </c>
      <c r="N210" s="9">
        <f>Table_dat150_[[#This Row],[LogExpenditure]]-Table_dat150_[[#This Row],[Log Quadratic Trend]]</f>
        <v>-3.3478713417626871E-2</v>
      </c>
      <c r="O210" s="9">
        <f t="shared" si="7"/>
        <v>-3.4190160256057922E-3</v>
      </c>
      <c r="P210" s="9">
        <f>Table_dat150_[[#This Row],[Log Quadratic Trend]]+Table_dat150_[[#This Row],[Cycle]]</f>
        <v>6.8544333674351074</v>
      </c>
      <c r="Q210" s="9">
        <f>Table_dat150_[[#This Row],[LogExpenditure]]-Table_dat150_[[#This Row],[Log Quadratic Trend]]-Table_dat150_[[#This Row],[Cycle]]</f>
        <v>-3.0059697392021079E-2</v>
      </c>
      <c r="R210" s="9">
        <f>AVERAGEIF(Table_dat150_[Quarter], B210, Table_dat150_[High Frequency])</f>
        <v>-4.2281954239907563E-2</v>
      </c>
      <c r="S210" s="9">
        <f>Table_dat150_[[#This Row],[S0]]-AVERAGE($R$6:$R$9)</f>
        <v>-4.2188413571464481E-2</v>
      </c>
    </row>
    <row r="211" spans="1:19" x14ac:dyDescent="0.3">
      <c r="A211">
        <v>2002</v>
      </c>
      <c r="B211">
        <v>2</v>
      </c>
      <c r="C211" s="1">
        <f>DATE(Table_dat150_[[#This Row],[Year]],(Table_dat150_[[#This Row],[Quarter]]-1)*3+2,15)</f>
        <v>37391</v>
      </c>
      <c r="D211">
        <f>Table_dat150_[[#This Row],[Year]]+1/8+(Table_dat150_[[#This Row],[Quarter]]-1)/4</f>
        <v>2002.375</v>
      </c>
      <c r="E211">
        <f>Table_dat150_[[#This Row],[DecDate]]^2</f>
        <v>4009505.640625</v>
      </c>
      <c r="F211">
        <v>942</v>
      </c>
      <c r="G211" s="8">
        <f>LN(Table_dat150_[[#This Row],[Expenditure]])</f>
        <v>6.8480052745763631</v>
      </c>
      <c r="H211" s="9">
        <f t="shared" si="6"/>
        <v>2.391304347826087E-2</v>
      </c>
      <c r="I211" s="9">
        <f>(1+Table_dat150_[[#This Row],[gt]])^4 -1</f>
        <v>9.9138199928709092E-2</v>
      </c>
      <c r="J211" s="9">
        <f>$V$18+$V$19*Table_dat150_[[#This Row],[DecDate]]</f>
        <v>956.72329850406095</v>
      </c>
      <c r="K211" s="9">
        <f>$V$37+$V$38*Table_dat150_[[#This Row],[DecDate]]+$V$39*Table_dat150_[[#This Row],[DecDate2]]</f>
        <v>953.85233052304829</v>
      </c>
      <c r="L211" s="9">
        <f>$AF$18+$AF$19*Table_dat150_[[#This Row],[DecDate]]</f>
        <v>6.8602519863398177</v>
      </c>
      <c r="M211" s="9">
        <f>$AF$37+$AF$38*Table_dat150_[[#This Row],[DecDate]]+$AF$39*Table_dat150_[[#This Row],[DecDate2]]</f>
        <v>6.8594104952620292</v>
      </c>
      <c r="N211" s="9">
        <f>Table_dat150_[[#This Row],[LogExpenditure]]-Table_dat150_[[#This Row],[Log Quadratic Trend]]</f>
        <v>-1.1405220685666073E-2</v>
      </c>
      <c r="O211" s="9">
        <f t="shared" si="7"/>
        <v>-8.8151987013718631E-3</v>
      </c>
      <c r="P211" s="9">
        <f>Table_dat150_[[#This Row],[Log Quadratic Trend]]+Table_dat150_[[#This Row],[Cycle]]</f>
        <v>6.8505952965606571</v>
      </c>
      <c r="Q211" s="9">
        <f>Table_dat150_[[#This Row],[LogExpenditure]]-Table_dat150_[[#This Row],[Log Quadratic Trend]]-Table_dat150_[[#This Row],[Cycle]]</f>
        <v>-2.59002198429421E-3</v>
      </c>
      <c r="R211" s="9">
        <f>AVERAGEIF(Table_dat150_[Quarter], B211, Table_dat150_[High Frequency])</f>
        <v>3.2923068860816217E-2</v>
      </c>
      <c r="S211" s="9">
        <f>Table_dat150_[[#This Row],[S0]]-AVERAGE($R$6:$R$9)</f>
        <v>3.3016609529259298E-2</v>
      </c>
    </row>
    <row r="212" spans="1:19" x14ac:dyDescent="0.3">
      <c r="A212">
        <v>2002</v>
      </c>
      <c r="B212">
        <v>3</v>
      </c>
      <c r="C212" s="1">
        <f>DATE(Table_dat150_[[#This Row],[Year]],(Table_dat150_[[#This Row],[Quarter]]-1)*3+2,15)</f>
        <v>37483</v>
      </c>
      <c r="D212">
        <f>Table_dat150_[[#This Row],[Year]]+1/8+(Table_dat150_[[#This Row],[Quarter]]-1)/4</f>
        <v>2002.625</v>
      </c>
      <c r="E212">
        <f>Table_dat150_[[#This Row],[DecDate]]^2</f>
        <v>4010506.890625</v>
      </c>
      <c r="F212">
        <v>995</v>
      </c>
      <c r="G212" s="8">
        <f>LN(Table_dat150_[[#This Row],[Expenditure]])</f>
        <v>6.9027427371585928</v>
      </c>
      <c r="H212" s="9">
        <f t="shared" si="6"/>
        <v>5.6263269639065819E-2</v>
      </c>
      <c r="I212" s="9">
        <f>(1+Table_dat150_[[#This Row],[gt]])^4 -1</f>
        <v>0.24476885037379659</v>
      </c>
      <c r="J212" s="9">
        <f>$V$18+$V$19*Table_dat150_[[#This Row],[DecDate]]</f>
        <v>958.02895404788615</v>
      </c>
      <c r="K212" s="9">
        <f>$V$37+$V$38*Table_dat150_[[#This Row],[DecDate]]+$V$39*Table_dat150_[[#This Row],[DecDate2]]</f>
        <v>955.33833324720035</v>
      </c>
      <c r="L212" s="9">
        <f>$AF$18+$AF$19*Table_dat150_[[#This Row],[DecDate]]</f>
        <v>6.8617580150905928</v>
      </c>
      <c r="M212" s="9">
        <f>$AF$37+$AF$38*Table_dat150_[[#This Row],[DecDate]]+$AF$39*Table_dat150_[[#This Row],[DecDate2]]</f>
        <v>6.8609693844223081</v>
      </c>
      <c r="N212" s="9">
        <f>Table_dat150_[[#This Row],[LogExpenditure]]-Table_dat150_[[#This Row],[Log Quadratic Trend]]</f>
        <v>4.1773352736284686E-2</v>
      </c>
      <c r="O212" s="9">
        <f t="shared" si="7"/>
        <v>-9.3108211362062931E-3</v>
      </c>
      <c r="P212" s="9">
        <f>Table_dat150_[[#This Row],[Log Quadratic Trend]]+Table_dat150_[[#This Row],[Cycle]]</f>
        <v>6.8516585632861018</v>
      </c>
      <c r="Q212" s="9">
        <f>Table_dat150_[[#This Row],[LogExpenditure]]-Table_dat150_[[#This Row],[Log Quadratic Trend]]-Table_dat150_[[#This Row],[Cycle]]</f>
        <v>5.1084173872490979E-2</v>
      </c>
      <c r="R212" s="9">
        <f>AVERAGEIF(Table_dat150_[Quarter], B212, Table_dat150_[High Frequency])</f>
        <v>3.7456808917954526E-2</v>
      </c>
      <c r="S212" s="9">
        <f>Table_dat150_[[#This Row],[S0]]-AVERAGE($R$6:$R$9)</f>
        <v>3.7550349586397608E-2</v>
      </c>
    </row>
    <row r="213" spans="1:19" x14ac:dyDescent="0.3">
      <c r="A213">
        <v>2002</v>
      </c>
      <c r="B213">
        <v>4</v>
      </c>
      <c r="C213" s="1">
        <f>DATE(Table_dat150_[[#This Row],[Year]],(Table_dat150_[[#This Row],[Quarter]]-1)*3+2,15)</f>
        <v>37575</v>
      </c>
      <c r="D213">
        <f>Table_dat150_[[#This Row],[Year]]+1/8+(Table_dat150_[[#This Row],[Quarter]]-1)/4</f>
        <v>2002.875</v>
      </c>
      <c r="E213">
        <f>Table_dat150_[[#This Row],[DecDate]]^2</f>
        <v>4011508.265625</v>
      </c>
      <c r="F213">
        <v>929</v>
      </c>
      <c r="G213" s="8">
        <f>LN(Table_dat150_[[#This Row],[Expenditure]])</f>
        <v>6.8341087388138382</v>
      </c>
      <c r="H213" s="9">
        <f t="shared" si="6"/>
        <v>-6.6331658291457291E-2</v>
      </c>
      <c r="I213" s="9">
        <f>(1+Table_dat150_[[#This Row],[gt]])^4 -1</f>
        <v>-0.24007534849933898</v>
      </c>
      <c r="J213" s="9">
        <f>$V$18+$V$19*Table_dat150_[[#This Row],[DecDate]]</f>
        <v>959.33460959171316</v>
      </c>
      <c r="K213" s="9">
        <f>$V$37+$V$38*Table_dat150_[[#This Row],[DecDate]]+$V$39*Table_dat150_[[#This Row],[DecDate2]]</f>
        <v>956.82698813578463</v>
      </c>
      <c r="L213" s="9">
        <f>$AF$18+$AF$19*Table_dat150_[[#This Row],[DecDate]]</f>
        <v>6.8632640438413697</v>
      </c>
      <c r="M213" s="9">
        <f>$AF$37+$AF$38*Table_dat150_[[#This Row],[DecDate]]+$AF$39*Table_dat150_[[#This Row],[DecDate2]]</f>
        <v>6.8625290509415571</v>
      </c>
      <c r="N213" s="9">
        <f>Table_dat150_[[#This Row],[LogExpenditure]]-Table_dat150_[[#This Row],[Log Quadratic Trend]]</f>
        <v>-2.8420312127718894E-2</v>
      </c>
      <c r="O213" s="9">
        <f t="shared" si="7"/>
        <v>1.0158132488662375E-2</v>
      </c>
      <c r="P213" s="9">
        <f>Table_dat150_[[#This Row],[Log Quadratic Trend]]+Table_dat150_[[#This Row],[Cycle]]</f>
        <v>6.8726871834302194</v>
      </c>
      <c r="Q213" s="9">
        <f>Table_dat150_[[#This Row],[LogExpenditure]]-Table_dat150_[[#This Row],[Log Quadratic Trend]]-Table_dat150_[[#This Row],[Cycle]]</f>
        <v>-3.8578444616381269E-2</v>
      </c>
      <c r="R213" s="9">
        <f>AVERAGEIF(Table_dat150_[Quarter], B213, Table_dat150_[High Frequency])</f>
        <v>-2.8472086212635514E-2</v>
      </c>
      <c r="S213" s="9">
        <f>Table_dat150_[[#This Row],[S0]]-AVERAGE($R$6:$R$9)</f>
        <v>-2.8378545544192432E-2</v>
      </c>
    </row>
    <row r="214" spans="1:19" x14ac:dyDescent="0.3">
      <c r="A214">
        <v>2003</v>
      </c>
      <c r="B214">
        <v>1</v>
      </c>
      <c r="C214" s="1">
        <f>DATE(Table_dat150_[[#This Row],[Year]],(Table_dat150_[[#This Row],[Quarter]]-1)*3+2,15)</f>
        <v>37667</v>
      </c>
      <c r="D214">
        <f>Table_dat150_[[#This Row],[Year]]+1/8+(Table_dat150_[[#This Row],[Quarter]]-1)/4</f>
        <v>2003.125</v>
      </c>
      <c r="E214">
        <f>Table_dat150_[[#This Row],[DecDate]]^2</f>
        <v>4012509.765625</v>
      </c>
      <c r="F214">
        <v>943</v>
      </c>
      <c r="G214" s="8">
        <f>LN(Table_dat150_[[#This Row],[Expenditure]])</f>
        <v>6.8490662826334576</v>
      </c>
      <c r="H214" s="9">
        <f t="shared" si="6"/>
        <v>1.5069967707212056E-2</v>
      </c>
      <c r="I214" s="9">
        <f>(1+Table_dat150_[[#This Row],[gt]])^4 -1</f>
        <v>6.165623576058632E-2</v>
      </c>
      <c r="J214" s="9">
        <f>$V$18+$V$19*Table_dat150_[[#This Row],[DecDate]]</f>
        <v>960.64026513554018</v>
      </c>
      <c r="K214" s="9">
        <f>$V$37+$V$38*Table_dat150_[[#This Row],[DecDate]]+$V$39*Table_dat150_[[#This Row],[DecDate2]]</f>
        <v>958.31829518878658</v>
      </c>
      <c r="L214" s="9">
        <f>$AF$18+$AF$19*Table_dat150_[[#This Row],[DecDate]]</f>
        <v>6.8647700725921448</v>
      </c>
      <c r="M214" s="9">
        <f>$AF$37+$AF$38*Table_dat150_[[#This Row],[DecDate]]+$AF$39*Table_dat150_[[#This Row],[DecDate2]]</f>
        <v>6.8640894948197619</v>
      </c>
      <c r="N214" s="9">
        <f>Table_dat150_[[#This Row],[LogExpenditure]]-Table_dat150_[[#This Row],[Log Quadratic Trend]]</f>
        <v>-1.5023212186304313E-2</v>
      </c>
      <c r="O214" s="9">
        <f t="shared" si="7"/>
        <v>1.4249556073334623E-2</v>
      </c>
      <c r="P214" s="9">
        <f>Table_dat150_[[#This Row],[Log Quadratic Trend]]+Table_dat150_[[#This Row],[Cycle]]</f>
        <v>6.8783390508930964</v>
      </c>
      <c r="Q214" s="9">
        <f>Table_dat150_[[#This Row],[LogExpenditure]]-Table_dat150_[[#This Row],[Log Quadratic Trend]]-Table_dat150_[[#This Row],[Cycle]]</f>
        <v>-2.9272768259638936E-2</v>
      </c>
      <c r="R214" s="9">
        <f>AVERAGEIF(Table_dat150_[Quarter], B214, Table_dat150_[High Frequency])</f>
        <v>-4.2281954239907563E-2</v>
      </c>
      <c r="S214" s="9">
        <f>Table_dat150_[[#This Row],[S0]]-AVERAGE($R$6:$R$9)</f>
        <v>-4.2188413571464481E-2</v>
      </c>
    </row>
    <row r="215" spans="1:19" x14ac:dyDescent="0.3">
      <c r="A215">
        <v>2003</v>
      </c>
      <c r="B215">
        <v>2</v>
      </c>
      <c r="C215" s="1">
        <f>DATE(Table_dat150_[[#This Row],[Year]],(Table_dat150_[[#This Row],[Quarter]]-1)*3+2,15)</f>
        <v>37756</v>
      </c>
      <c r="D215">
        <f>Table_dat150_[[#This Row],[Year]]+1/8+(Table_dat150_[[#This Row],[Quarter]]-1)/4</f>
        <v>2003.375</v>
      </c>
      <c r="E215">
        <f>Table_dat150_[[#This Row],[DecDate]]^2</f>
        <v>4013511.390625</v>
      </c>
      <c r="F215">
        <v>1022</v>
      </c>
      <c r="G215" s="8">
        <f>LN(Table_dat150_[[#This Row],[Expenditure]])</f>
        <v>6.9295167707636498</v>
      </c>
      <c r="H215" s="9">
        <f t="shared" si="6"/>
        <v>8.3775185577942737E-2</v>
      </c>
      <c r="I215" s="9">
        <f>(1+Table_dat150_[[#This Row],[gt]])^4 -1</f>
        <v>0.37961152031542778</v>
      </c>
      <c r="J215" s="9">
        <f>$V$18+$V$19*Table_dat150_[[#This Row],[DecDate]]</f>
        <v>961.94592067936537</v>
      </c>
      <c r="K215" s="9">
        <f>$V$37+$V$38*Table_dat150_[[#This Row],[DecDate]]+$V$39*Table_dat150_[[#This Row],[DecDate2]]</f>
        <v>959.81225440619164</v>
      </c>
      <c r="L215" s="9">
        <f>$AF$18+$AF$19*Table_dat150_[[#This Row],[DecDate]]</f>
        <v>6.8662761013429199</v>
      </c>
      <c r="M215" s="9">
        <f>$AF$37+$AF$38*Table_dat150_[[#This Row],[DecDate]]+$AF$39*Table_dat150_[[#This Row],[DecDate2]]</f>
        <v>6.8656507160569333</v>
      </c>
      <c r="N215" s="9">
        <f>Table_dat150_[[#This Row],[LogExpenditure]]-Table_dat150_[[#This Row],[Log Quadratic Trend]]</f>
        <v>6.3866054706716469E-2</v>
      </c>
      <c r="O215" s="9">
        <f t="shared" si="7"/>
        <v>1.1028832460972637E-3</v>
      </c>
      <c r="P215" s="9">
        <f>Table_dat150_[[#This Row],[Log Quadratic Trend]]+Table_dat150_[[#This Row],[Cycle]]</f>
        <v>6.8667535993030304</v>
      </c>
      <c r="Q215" s="9">
        <f>Table_dat150_[[#This Row],[LogExpenditure]]-Table_dat150_[[#This Row],[Log Quadratic Trend]]-Table_dat150_[[#This Row],[Cycle]]</f>
        <v>6.2763171460619202E-2</v>
      </c>
      <c r="R215" s="9">
        <f>AVERAGEIF(Table_dat150_[Quarter], B215, Table_dat150_[High Frequency])</f>
        <v>3.2923068860816217E-2</v>
      </c>
      <c r="S215" s="9">
        <f>Table_dat150_[[#This Row],[S0]]-AVERAGE($R$6:$R$9)</f>
        <v>3.3016609529259298E-2</v>
      </c>
    </row>
    <row r="216" spans="1:19" x14ac:dyDescent="0.3">
      <c r="A216">
        <v>2003</v>
      </c>
      <c r="B216">
        <v>3</v>
      </c>
      <c r="C216" s="1">
        <f>DATE(Table_dat150_[[#This Row],[Year]],(Table_dat150_[[#This Row],[Quarter]]-1)*3+2,15)</f>
        <v>37848</v>
      </c>
      <c r="D216">
        <f>Table_dat150_[[#This Row],[Year]]+1/8+(Table_dat150_[[#This Row],[Quarter]]-1)/4</f>
        <v>2003.625</v>
      </c>
      <c r="E216">
        <f>Table_dat150_[[#This Row],[DecDate]]^2</f>
        <v>4014513.140625</v>
      </c>
      <c r="F216">
        <v>969</v>
      </c>
      <c r="G216" s="8">
        <f>LN(Table_dat150_[[#This Row],[Expenditure]])</f>
        <v>6.8762646118907664</v>
      </c>
      <c r="H216" s="9">
        <f t="shared" si="6"/>
        <v>-5.1859099804305281E-2</v>
      </c>
      <c r="I216" s="9">
        <f>(1+Table_dat150_[[#This Row],[gt]])^4 -1</f>
        <v>-0.1918508415788599</v>
      </c>
      <c r="J216" s="9">
        <f>$V$18+$V$19*Table_dat150_[[#This Row],[DecDate]]</f>
        <v>963.25157622319239</v>
      </c>
      <c r="K216" s="9">
        <f>$V$37+$V$38*Table_dat150_[[#This Row],[DecDate]]+$V$39*Table_dat150_[[#This Row],[DecDate2]]</f>
        <v>961.30886578799982</v>
      </c>
      <c r="L216" s="9">
        <f>$AF$18+$AF$19*Table_dat150_[[#This Row],[DecDate]]</f>
        <v>6.867782130093695</v>
      </c>
      <c r="M216" s="9">
        <f>$AF$37+$AF$38*Table_dat150_[[#This Row],[DecDate]]+$AF$39*Table_dat150_[[#This Row],[DecDate2]]</f>
        <v>6.8672127146530713</v>
      </c>
      <c r="N216" s="9">
        <f>Table_dat150_[[#This Row],[LogExpenditure]]-Table_dat150_[[#This Row],[Log Quadratic Trend]]</f>
        <v>9.0518972376951723E-3</v>
      </c>
      <c r="O216" s="9">
        <f t="shared" si="7"/>
        <v>-1.9718184014852367E-3</v>
      </c>
      <c r="P216" s="9">
        <f>Table_dat150_[[#This Row],[Log Quadratic Trend]]+Table_dat150_[[#This Row],[Cycle]]</f>
        <v>6.8652408962515858</v>
      </c>
      <c r="Q216" s="9">
        <f>Table_dat150_[[#This Row],[LogExpenditure]]-Table_dat150_[[#This Row],[Log Quadratic Trend]]-Table_dat150_[[#This Row],[Cycle]]</f>
        <v>1.102371563918041E-2</v>
      </c>
      <c r="R216" s="9">
        <f>AVERAGEIF(Table_dat150_[Quarter], B216, Table_dat150_[High Frequency])</f>
        <v>3.7456808917954526E-2</v>
      </c>
      <c r="S216" s="9">
        <f>Table_dat150_[[#This Row],[S0]]-AVERAGE($R$6:$R$9)</f>
        <v>3.7550349586397608E-2</v>
      </c>
    </row>
    <row r="217" spans="1:19" x14ac:dyDescent="0.3">
      <c r="A217">
        <v>2003</v>
      </c>
      <c r="B217">
        <v>4</v>
      </c>
      <c r="C217" s="1">
        <f>DATE(Table_dat150_[[#This Row],[Year]],(Table_dat150_[[#This Row],[Quarter]]-1)*3+2,15)</f>
        <v>37940</v>
      </c>
      <c r="D217">
        <f>Table_dat150_[[#This Row],[Year]]+1/8+(Table_dat150_[[#This Row],[Quarter]]-1)/4</f>
        <v>2003.875</v>
      </c>
      <c r="E217">
        <f>Table_dat150_[[#This Row],[DecDate]]^2</f>
        <v>4015515.015625</v>
      </c>
      <c r="F217">
        <v>939</v>
      </c>
      <c r="G217" s="8">
        <f>LN(Table_dat150_[[#This Row],[Expenditure]])</f>
        <v>6.8448154792082629</v>
      </c>
      <c r="H217" s="9">
        <f t="shared" si="6"/>
        <v>-3.0959752321981424E-2</v>
      </c>
      <c r="I217" s="9">
        <f>(1+Table_dat150_[[#This Row],[gt]])^4 -1</f>
        <v>-0.11820575343674744</v>
      </c>
      <c r="J217" s="9">
        <f>$V$18+$V$19*Table_dat150_[[#This Row],[DecDate]]</f>
        <v>964.5572317670194</v>
      </c>
      <c r="K217" s="9">
        <f>$V$37+$V$38*Table_dat150_[[#This Row],[DecDate]]+$V$39*Table_dat150_[[#This Row],[DecDate2]]</f>
        <v>962.80812933424022</v>
      </c>
      <c r="L217" s="9">
        <f>$AF$18+$AF$19*Table_dat150_[[#This Row],[DecDate]]</f>
        <v>6.8692881588444701</v>
      </c>
      <c r="M217" s="9">
        <f>$AF$37+$AF$38*Table_dat150_[[#This Row],[DecDate]]+$AF$39*Table_dat150_[[#This Row],[DecDate2]]</f>
        <v>6.8687754906081651</v>
      </c>
      <c r="N217" s="9">
        <f>Table_dat150_[[#This Row],[LogExpenditure]]-Table_dat150_[[#This Row],[Log Quadratic Trend]]</f>
        <v>-2.3960011399902115E-2</v>
      </c>
      <c r="O217" s="9">
        <f t="shared" si="7"/>
        <v>1.6985665720412157E-3</v>
      </c>
      <c r="P217" s="9">
        <f>Table_dat150_[[#This Row],[Log Quadratic Trend]]+Table_dat150_[[#This Row],[Cycle]]</f>
        <v>6.8704740571802061</v>
      </c>
      <c r="Q217" s="9">
        <f>Table_dat150_[[#This Row],[LogExpenditure]]-Table_dat150_[[#This Row],[Log Quadratic Trend]]-Table_dat150_[[#This Row],[Cycle]]</f>
        <v>-2.565857797194333E-2</v>
      </c>
      <c r="R217" s="9">
        <f>AVERAGEIF(Table_dat150_[Quarter], B217, Table_dat150_[High Frequency])</f>
        <v>-2.8472086212635514E-2</v>
      </c>
      <c r="S217" s="9">
        <f>Table_dat150_[[#This Row],[S0]]-AVERAGE($R$6:$R$9)</f>
        <v>-2.8378545544192432E-2</v>
      </c>
    </row>
    <row r="218" spans="1:19" x14ac:dyDescent="0.3">
      <c r="A218">
        <v>2004</v>
      </c>
      <c r="B218">
        <v>1</v>
      </c>
      <c r="C218" s="1">
        <f>DATE(Table_dat150_[[#This Row],[Year]],(Table_dat150_[[#This Row],[Quarter]]-1)*3+2,15)</f>
        <v>38032</v>
      </c>
      <c r="D218">
        <f>Table_dat150_[[#This Row],[Year]]+1/8+(Table_dat150_[[#This Row],[Quarter]]-1)/4</f>
        <v>2004.125</v>
      </c>
      <c r="E218">
        <f>Table_dat150_[[#This Row],[DecDate]]^2</f>
        <v>4016517.015625</v>
      </c>
      <c r="F218">
        <v>922</v>
      </c>
      <c r="G218" s="8">
        <f>LN(Table_dat150_[[#This Row],[Expenditure]])</f>
        <v>6.826545223556594</v>
      </c>
      <c r="H218" s="9">
        <f t="shared" si="6"/>
        <v>-1.8104366347177849E-2</v>
      </c>
      <c r="I218" s="9">
        <f>(1+Table_dat150_[[#This Row],[gt]])^4 -1</f>
        <v>-7.0474485605448889E-2</v>
      </c>
      <c r="J218" s="9">
        <f>$V$18+$V$19*Table_dat150_[[#This Row],[DecDate]]</f>
        <v>965.86288731084642</v>
      </c>
      <c r="K218" s="9">
        <f>$V$37+$V$38*Table_dat150_[[#This Row],[DecDate]]+$V$39*Table_dat150_[[#This Row],[DecDate2]]</f>
        <v>964.31004504489829</v>
      </c>
      <c r="L218" s="9">
        <f>$AF$18+$AF$19*Table_dat150_[[#This Row],[DecDate]]</f>
        <v>6.8707941875952452</v>
      </c>
      <c r="M218" s="9">
        <f>$AF$37+$AF$38*Table_dat150_[[#This Row],[DecDate]]+$AF$39*Table_dat150_[[#This Row],[DecDate2]]</f>
        <v>6.8703390439222254</v>
      </c>
      <c r="N218" s="9">
        <f>Table_dat150_[[#This Row],[LogExpenditure]]-Table_dat150_[[#This Row],[Log Quadratic Trend]]</f>
        <v>-4.3793820365631397E-2</v>
      </c>
      <c r="O218" s="9">
        <f t="shared" si="7"/>
        <v>-7.6465168653164998E-3</v>
      </c>
      <c r="P218" s="9">
        <f>Table_dat150_[[#This Row],[Log Quadratic Trend]]+Table_dat150_[[#This Row],[Cycle]]</f>
        <v>6.8626925270569092</v>
      </c>
      <c r="Q218" s="9">
        <f>Table_dat150_[[#This Row],[LogExpenditure]]-Table_dat150_[[#This Row],[Log Quadratic Trend]]-Table_dat150_[[#This Row],[Cycle]]</f>
        <v>-3.6147303500314899E-2</v>
      </c>
      <c r="R218" s="9">
        <f>AVERAGEIF(Table_dat150_[Quarter], B218, Table_dat150_[High Frequency])</f>
        <v>-4.2281954239907563E-2</v>
      </c>
      <c r="S218" s="9">
        <f>Table_dat150_[[#This Row],[S0]]-AVERAGE($R$6:$R$9)</f>
        <v>-4.2188413571464481E-2</v>
      </c>
    </row>
    <row r="219" spans="1:19" x14ac:dyDescent="0.3">
      <c r="A219">
        <v>2004</v>
      </c>
      <c r="B219">
        <v>2</v>
      </c>
      <c r="C219" s="1">
        <f>DATE(Table_dat150_[[#This Row],[Year]],(Table_dat150_[[#This Row],[Quarter]]-1)*3+2,15)</f>
        <v>38122</v>
      </c>
      <c r="D219">
        <f>Table_dat150_[[#This Row],[Year]]+1/8+(Table_dat150_[[#This Row],[Quarter]]-1)/4</f>
        <v>2004.375</v>
      </c>
      <c r="E219">
        <f>Table_dat150_[[#This Row],[DecDate]]^2</f>
        <v>4017519.140625</v>
      </c>
      <c r="F219">
        <v>968</v>
      </c>
      <c r="G219" s="8">
        <f>LN(Table_dat150_[[#This Row],[Expenditure]])</f>
        <v>6.8752320872765766</v>
      </c>
      <c r="H219" s="9">
        <f t="shared" si="6"/>
        <v>4.9891540130151846E-2</v>
      </c>
      <c r="I219" s="9">
        <f>(1+Table_dat150_[[#This Row],[gt]])^4 -1</f>
        <v>0.21500410438314876</v>
      </c>
      <c r="J219" s="9">
        <f>$V$18+$V$19*Table_dat150_[[#This Row],[DecDate]]</f>
        <v>967.16854285467161</v>
      </c>
      <c r="K219" s="9">
        <f>$V$37+$V$38*Table_dat150_[[#This Row],[DecDate]]+$V$39*Table_dat150_[[#This Row],[DecDate2]]</f>
        <v>965.81461291998858</v>
      </c>
      <c r="L219" s="9">
        <f>$AF$18+$AF$19*Table_dat150_[[#This Row],[DecDate]]</f>
        <v>6.8723002163460221</v>
      </c>
      <c r="M219" s="9">
        <f>$AF$37+$AF$38*Table_dat150_[[#This Row],[DecDate]]+$AF$39*Table_dat150_[[#This Row],[DecDate2]]</f>
        <v>6.8719033745952487</v>
      </c>
      <c r="N219" s="9">
        <f>Table_dat150_[[#This Row],[LogExpenditure]]-Table_dat150_[[#This Row],[Log Quadratic Trend]]</f>
        <v>3.32871268132795E-3</v>
      </c>
      <c r="O219" s="9">
        <f t="shared" si="7"/>
        <v>-1.5713780115248176E-2</v>
      </c>
      <c r="P219" s="9">
        <f>Table_dat150_[[#This Row],[Log Quadratic Trend]]+Table_dat150_[[#This Row],[Cycle]]</f>
        <v>6.8561895944800009</v>
      </c>
      <c r="Q219" s="9">
        <f>Table_dat150_[[#This Row],[LogExpenditure]]-Table_dat150_[[#This Row],[Log Quadratic Trend]]-Table_dat150_[[#This Row],[Cycle]]</f>
        <v>1.9042492796576126E-2</v>
      </c>
      <c r="R219" s="9">
        <f>AVERAGEIF(Table_dat150_[Quarter], B219, Table_dat150_[High Frequency])</f>
        <v>3.2923068860816217E-2</v>
      </c>
      <c r="S219" s="9">
        <f>Table_dat150_[[#This Row],[S0]]-AVERAGE($R$6:$R$9)</f>
        <v>3.3016609529259298E-2</v>
      </c>
    </row>
    <row r="220" spans="1:19" x14ac:dyDescent="0.3">
      <c r="A220">
        <v>2004</v>
      </c>
      <c r="B220">
        <v>3</v>
      </c>
      <c r="C220" s="1">
        <f>DATE(Table_dat150_[[#This Row],[Year]],(Table_dat150_[[#This Row],[Quarter]]-1)*3+2,15)</f>
        <v>38214</v>
      </c>
      <c r="D220">
        <f>Table_dat150_[[#This Row],[Year]]+1/8+(Table_dat150_[[#This Row],[Quarter]]-1)/4</f>
        <v>2004.625</v>
      </c>
      <c r="E220">
        <f>Table_dat150_[[#This Row],[DecDate]]^2</f>
        <v>4018521.390625</v>
      </c>
      <c r="F220">
        <v>983</v>
      </c>
      <c r="G220" s="8">
        <f>LN(Table_dat150_[[#This Row],[Expenditure]])</f>
        <v>6.8906091201471664</v>
      </c>
      <c r="H220" s="9">
        <f t="shared" si="6"/>
        <v>1.5495867768595042E-2</v>
      </c>
      <c r="I220" s="9">
        <f>(1+Table_dat150_[[#This Row],[gt]])^4 -1</f>
        <v>6.3439143830278821E-2</v>
      </c>
      <c r="J220" s="9">
        <f>$V$18+$V$19*Table_dat150_[[#This Row],[DecDate]]</f>
        <v>968.47419839849863</v>
      </c>
      <c r="K220" s="9">
        <f>$V$37+$V$38*Table_dat150_[[#This Row],[DecDate]]+$V$39*Table_dat150_[[#This Row],[DecDate2]]</f>
        <v>967.32183295948198</v>
      </c>
      <c r="L220" s="9">
        <f>$AF$18+$AF$19*Table_dat150_[[#This Row],[DecDate]]</f>
        <v>6.8738062450967972</v>
      </c>
      <c r="M220" s="9">
        <f>$AF$37+$AF$38*Table_dat150_[[#This Row],[DecDate]]+$AF$39*Table_dat150_[[#This Row],[DecDate2]]</f>
        <v>6.8734684826272385</v>
      </c>
      <c r="N220" s="9">
        <f>Table_dat150_[[#This Row],[LogExpenditure]]-Table_dat150_[[#This Row],[Log Quadratic Trend]]</f>
        <v>1.7140637519927893E-2</v>
      </c>
      <c r="O220" s="9">
        <f t="shared" si="7"/>
        <v>-2.3113985974021568E-2</v>
      </c>
      <c r="P220" s="9">
        <f>Table_dat150_[[#This Row],[Log Quadratic Trend]]+Table_dat150_[[#This Row],[Cycle]]</f>
        <v>6.8503544966532166</v>
      </c>
      <c r="Q220" s="9">
        <f>Table_dat150_[[#This Row],[LogExpenditure]]-Table_dat150_[[#This Row],[Log Quadratic Trend]]-Table_dat150_[[#This Row],[Cycle]]</f>
        <v>4.0254623493949461E-2</v>
      </c>
      <c r="R220" s="9">
        <f>AVERAGEIF(Table_dat150_[Quarter], B220, Table_dat150_[High Frequency])</f>
        <v>3.7456808917954526E-2</v>
      </c>
      <c r="S220" s="9">
        <f>Table_dat150_[[#This Row],[S0]]-AVERAGE($R$6:$R$9)</f>
        <v>3.7550349586397608E-2</v>
      </c>
    </row>
    <row r="221" spans="1:19" x14ac:dyDescent="0.3">
      <c r="A221">
        <v>2004</v>
      </c>
      <c r="B221">
        <v>4</v>
      </c>
      <c r="C221" s="1">
        <f>DATE(Table_dat150_[[#This Row],[Year]],(Table_dat150_[[#This Row],[Quarter]]-1)*3+2,15)</f>
        <v>38306</v>
      </c>
      <c r="D221">
        <f>Table_dat150_[[#This Row],[Year]]+1/8+(Table_dat150_[[#This Row],[Quarter]]-1)/4</f>
        <v>2004.875</v>
      </c>
      <c r="E221">
        <f>Table_dat150_[[#This Row],[DecDate]]^2</f>
        <v>4019523.765625</v>
      </c>
      <c r="F221">
        <v>938</v>
      </c>
      <c r="G221" s="8">
        <f>LN(Table_dat150_[[#This Row],[Expenditure]])</f>
        <v>6.8437499490062246</v>
      </c>
      <c r="H221" s="9">
        <f t="shared" si="6"/>
        <v>-4.5778229908443539E-2</v>
      </c>
      <c r="I221" s="9">
        <f>(1+Table_dat150_[[#This Row],[gt]])^4 -1</f>
        <v>-0.17091838981757301</v>
      </c>
      <c r="J221" s="9">
        <f>$V$18+$V$19*Table_dat150_[[#This Row],[DecDate]]</f>
        <v>969.77985394232564</v>
      </c>
      <c r="K221" s="9">
        <f>$V$37+$V$38*Table_dat150_[[#This Row],[DecDate]]+$V$39*Table_dat150_[[#This Row],[DecDate2]]</f>
        <v>968.83170516339305</v>
      </c>
      <c r="L221" s="9">
        <f>$AF$18+$AF$19*Table_dat150_[[#This Row],[DecDate]]</f>
        <v>6.8753122738475723</v>
      </c>
      <c r="M221" s="9">
        <f>$AF$37+$AF$38*Table_dat150_[[#This Row],[DecDate]]+$AF$39*Table_dat150_[[#This Row],[DecDate2]]</f>
        <v>6.8750343680181878</v>
      </c>
      <c r="N221" s="9">
        <f>Table_dat150_[[#This Row],[LogExpenditure]]-Table_dat150_[[#This Row],[Log Quadratic Trend]]</f>
        <v>-3.1284419011963216E-2</v>
      </c>
      <c r="O221" s="9">
        <f t="shared" si="7"/>
        <v>-1.4323622418026715E-2</v>
      </c>
      <c r="P221" s="9">
        <f>Table_dat150_[[#This Row],[Log Quadratic Trend]]+Table_dat150_[[#This Row],[Cycle]]</f>
        <v>6.8607107456001613</v>
      </c>
      <c r="Q221" s="9">
        <f>Table_dat150_[[#This Row],[LogExpenditure]]-Table_dat150_[[#This Row],[Log Quadratic Trend]]-Table_dat150_[[#This Row],[Cycle]]</f>
        <v>-1.6960796593936501E-2</v>
      </c>
      <c r="R221" s="9">
        <f>AVERAGEIF(Table_dat150_[Quarter], B221, Table_dat150_[High Frequency])</f>
        <v>-2.8472086212635514E-2</v>
      </c>
      <c r="S221" s="9">
        <f>Table_dat150_[[#This Row],[S0]]-AVERAGE($R$6:$R$9)</f>
        <v>-2.8378545544192432E-2</v>
      </c>
    </row>
    <row r="222" spans="1:19" x14ac:dyDescent="0.3">
      <c r="A222">
        <v>2005</v>
      </c>
      <c r="B222">
        <v>1</v>
      </c>
      <c r="C222" s="1">
        <f>DATE(Table_dat150_[[#This Row],[Year]],(Table_dat150_[[#This Row],[Quarter]]-1)*3+2,15)</f>
        <v>38398</v>
      </c>
      <c r="D222">
        <f>Table_dat150_[[#This Row],[Year]]+1/8+(Table_dat150_[[#This Row],[Quarter]]-1)/4</f>
        <v>2005.125</v>
      </c>
      <c r="E222">
        <f>Table_dat150_[[#This Row],[DecDate]]^2</f>
        <v>4020526.265625</v>
      </c>
      <c r="F222">
        <v>912</v>
      </c>
      <c r="G222" s="8">
        <f>LN(Table_dat150_[[#This Row],[Expenditure]])</f>
        <v>6.815639990074331</v>
      </c>
      <c r="H222" s="9">
        <f t="shared" si="6"/>
        <v>-2.7718550106609809E-2</v>
      </c>
      <c r="I222" s="9">
        <f>(1+Table_dat150_[[#This Row],[gt]])^4 -1</f>
        <v>-0.10634888863992575</v>
      </c>
      <c r="J222" s="9">
        <f>$V$18+$V$19*Table_dat150_[[#This Row],[DecDate]]</f>
        <v>971.08550948615084</v>
      </c>
      <c r="K222" s="9">
        <f>$V$37+$V$38*Table_dat150_[[#This Row],[DecDate]]+$V$39*Table_dat150_[[#This Row],[DecDate2]]</f>
        <v>970.34422953172179</v>
      </c>
      <c r="L222" s="9">
        <f>$AF$18+$AF$19*Table_dat150_[[#This Row],[DecDate]]</f>
        <v>6.8768183025983474</v>
      </c>
      <c r="M222" s="9">
        <f>$AF$37+$AF$38*Table_dat150_[[#This Row],[DecDate]]+$AF$39*Table_dat150_[[#This Row],[DecDate2]]</f>
        <v>6.8766010307681</v>
      </c>
      <c r="N222" s="9">
        <f>Table_dat150_[[#This Row],[LogExpenditure]]-Table_dat150_[[#This Row],[Log Quadratic Trend]]</f>
        <v>-6.0961040693769064E-2</v>
      </c>
      <c r="O222" s="9">
        <f t="shared" si="7"/>
        <v>-1.4449208423686955E-2</v>
      </c>
      <c r="P222" s="9">
        <f>Table_dat150_[[#This Row],[Log Quadratic Trend]]+Table_dat150_[[#This Row],[Cycle]]</f>
        <v>6.8621518223444129</v>
      </c>
      <c r="Q222" s="9">
        <f>Table_dat150_[[#This Row],[LogExpenditure]]-Table_dat150_[[#This Row],[Log Quadratic Trend]]-Table_dat150_[[#This Row],[Cycle]]</f>
        <v>-4.6511832270082112E-2</v>
      </c>
      <c r="R222" s="9">
        <f>AVERAGEIF(Table_dat150_[Quarter], B222, Table_dat150_[High Frequency])</f>
        <v>-4.2281954239907563E-2</v>
      </c>
      <c r="S222" s="9">
        <f>Table_dat150_[[#This Row],[S0]]-AVERAGE($R$6:$R$9)</f>
        <v>-4.2188413571464481E-2</v>
      </c>
    </row>
    <row r="223" spans="1:19" x14ac:dyDescent="0.3">
      <c r="A223">
        <v>2005</v>
      </c>
      <c r="B223">
        <v>2</v>
      </c>
      <c r="C223" s="1">
        <f>DATE(Table_dat150_[[#This Row],[Year]],(Table_dat150_[[#This Row],[Quarter]]-1)*3+2,15)</f>
        <v>38487</v>
      </c>
      <c r="D223">
        <f>Table_dat150_[[#This Row],[Year]]+1/8+(Table_dat150_[[#This Row],[Quarter]]-1)/4</f>
        <v>2005.375</v>
      </c>
      <c r="E223">
        <f>Table_dat150_[[#This Row],[DecDate]]^2</f>
        <v>4021528.890625</v>
      </c>
      <c r="F223">
        <v>971</v>
      </c>
      <c r="G223" s="8">
        <f>LN(Table_dat150_[[#This Row],[Expenditure]])</f>
        <v>6.8783264682913252</v>
      </c>
      <c r="H223" s="9">
        <f t="shared" si="6"/>
        <v>6.4692982456140358E-2</v>
      </c>
      <c r="I223" s="9">
        <f>(1+Table_dat150_[[#This Row],[gt]])^4 -1</f>
        <v>0.28498354506457391</v>
      </c>
      <c r="J223" s="9">
        <f>$V$18+$V$19*Table_dat150_[[#This Row],[DecDate]]</f>
        <v>972.39116502997786</v>
      </c>
      <c r="K223" s="9">
        <f>$V$37+$V$38*Table_dat150_[[#This Row],[DecDate]]+$V$39*Table_dat150_[[#This Row],[DecDate2]]</f>
        <v>971.8594060644391</v>
      </c>
      <c r="L223" s="9">
        <f>$AF$18+$AF$19*Table_dat150_[[#This Row],[DecDate]]</f>
        <v>6.8783243313491225</v>
      </c>
      <c r="M223" s="9">
        <f>$AF$37+$AF$38*Table_dat150_[[#This Row],[DecDate]]+$AF$39*Table_dat150_[[#This Row],[DecDate2]]</f>
        <v>6.8781684708769824</v>
      </c>
      <c r="N223" s="9">
        <f>Table_dat150_[[#This Row],[LogExpenditure]]-Table_dat150_[[#This Row],[Log Quadratic Trend]]</f>
        <v>1.5799741434285863E-4</v>
      </c>
      <c r="O223" s="9">
        <f t="shared" si="7"/>
        <v>-2.4537417646724968E-2</v>
      </c>
      <c r="P223" s="9">
        <f>Table_dat150_[[#This Row],[Log Quadratic Trend]]+Table_dat150_[[#This Row],[Cycle]]</f>
        <v>6.8536310532302576</v>
      </c>
      <c r="Q223" s="9">
        <f>Table_dat150_[[#This Row],[LogExpenditure]]-Table_dat150_[[#This Row],[Log Quadratic Trend]]-Table_dat150_[[#This Row],[Cycle]]</f>
        <v>2.4695415061067826E-2</v>
      </c>
      <c r="R223" s="9">
        <f>AVERAGEIF(Table_dat150_[Quarter], B223, Table_dat150_[High Frequency])</f>
        <v>3.2923068860816217E-2</v>
      </c>
      <c r="S223" s="9">
        <f>Table_dat150_[[#This Row],[S0]]-AVERAGE($R$6:$R$9)</f>
        <v>3.3016609529259298E-2</v>
      </c>
    </row>
    <row r="224" spans="1:19" x14ac:dyDescent="0.3">
      <c r="A224">
        <v>2005</v>
      </c>
      <c r="B224">
        <v>3</v>
      </c>
      <c r="C224" s="1">
        <f>DATE(Table_dat150_[[#This Row],[Year]],(Table_dat150_[[#This Row],[Quarter]]-1)*3+2,15)</f>
        <v>38579</v>
      </c>
      <c r="D224">
        <f>Table_dat150_[[#This Row],[Year]]+1/8+(Table_dat150_[[#This Row],[Quarter]]-1)/4</f>
        <v>2005.625</v>
      </c>
      <c r="E224">
        <f>Table_dat150_[[#This Row],[DecDate]]^2</f>
        <v>4022531.640625</v>
      </c>
      <c r="F224">
        <v>975</v>
      </c>
      <c r="G224" s="8">
        <f>LN(Table_dat150_[[#This Row],[Expenditure]])</f>
        <v>6.8824374709978473</v>
      </c>
      <c r="H224" s="9">
        <f t="shared" si="6"/>
        <v>4.1194644696189494E-3</v>
      </c>
      <c r="I224" s="9">
        <f>(1+Table_dat150_[[#This Row],[gt]])^4 -1</f>
        <v>1.6579957720597838E-2</v>
      </c>
      <c r="J224" s="9">
        <f>$V$18+$V$19*Table_dat150_[[#This Row],[DecDate]]</f>
        <v>973.69682057380487</v>
      </c>
      <c r="K224" s="9">
        <f>$V$37+$V$38*Table_dat150_[[#This Row],[DecDate]]+$V$39*Table_dat150_[[#This Row],[DecDate2]]</f>
        <v>973.37723476160318</v>
      </c>
      <c r="L224" s="9">
        <f>$AF$18+$AF$19*Table_dat150_[[#This Row],[DecDate]]</f>
        <v>6.8798303600998976</v>
      </c>
      <c r="M224" s="9">
        <f>$AF$37+$AF$38*Table_dat150_[[#This Row],[DecDate]]+$AF$39*Table_dat150_[[#This Row],[DecDate2]]</f>
        <v>6.8797366883448205</v>
      </c>
      <c r="N224" s="9">
        <f>Table_dat150_[[#This Row],[LogExpenditure]]-Table_dat150_[[#This Row],[Log Quadratic Trend]]</f>
        <v>2.7007826530267565E-3</v>
      </c>
      <c r="O224" s="9">
        <f t="shared" si="7"/>
        <v>-2.3563227996894299E-2</v>
      </c>
      <c r="P224" s="9">
        <f>Table_dat150_[[#This Row],[Log Quadratic Trend]]+Table_dat150_[[#This Row],[Cycle]]</f>
        <v>6.8561734603479261</v>
      </c>
      <c r="Q224" s="9">
        <f>Table_dat150_[[#This Row],[LogExpenditure]]-Table_dat150_[[#This Row],[Log Quadratic Trend]]-Table_dat150_[[#This Row],[Cycle]]</f>
        <v>2.6264010649921055E-2</v>
      </c>
      <c r="R224" s="9">
        <f>AVERAGEIF(Table_dat150_[Quarter], B224, Table_dat150_[High Frequency])</f>
        <v>3.7456808917954526E-2</v>
      </c>
      <c r="S224" s="9">
        <f>Table_dat150_[[#This Row],[S0]]-AVERAGE($R$6:$R$9)</f>
        <v>3.7550349586397608E-2</v>
      </c>
    </row>
    <row r="225" spans="1:19" x14ac:dyDescent="0.3">
      <c r="A225">
        <v>2005</v>
      </c>
      <c r="B225">
        <v>4</v>
      </c>
      <c r="C225" s="1">
        <f>DATE(Table_dat150_[[#This Row],[Year]],(Table_dat150_[[#This Row],[Quarter]]-1)*3+2,15)</f>
        <v>38671</v>
      </c>
      <c r="D225">
        <f>Table_dat150_[[#This Row],[Year]]+1/8+(Table_dat150_[[#This Row],[Quarter]]-1)/4</f>
        <v>2005.875</v>
      </c>
      <c r="E225">
        <f>Table_dat150_[[#This Row],[DecDate]]^2</f>
        <v>4023534.515625</v>
      </c>
      <c r="F225">
        <v>942</v>
      </c>
      <c r="G225" s="8">
        <f>LN(Table_dat150_[[#This Row],[Expenditure]])</f>
        <v>6.8480052745763631</v>
      </c>
      <c r="H225" s="9">
        <f t="shared" si="6"/>
        <v>-3.3846153846153845E-2</v>
      </c>
      <c r="I225" s="9">
        <f>(1+Table_dat150_[[#This Row],[gt]])^4 -1</f>
        <v>-0.12866502177934958</v>
      </c>
      <c r="J225" s="9">
        <f>$V$18+$V$19*Table_dat150_[[#This Row],[DecDate]]</f>
        <v>975.00247611763007</v>
      </c>
      <c r="K225" s="9">
        <f>$V$37+$V$38*Table_dat150_[[#This Row],[DecDate]]+$V$39*Table_dat150_[[#This Row],[DecDate2]]</f>
        <v>974.89771562317037</v>
      </c>
      <c r="L225" s="9">
        <f>$AF$18+$AF$19*Table_dat150_[[#This Row],[DecDate]]</f>
        <v>6.8813363888506744</v>
      </c>
      <c r="M225" s="9">
        <f>$AF$37+$AF$38*Table_dat150_[[#This Row],[DecDate]]+$AF$39*Table_dat150_[[#This Row],[DecDate2]]</f>
        <v>6.8813056831716253</v>
      </c>
      <c r="N225" s="9">
        <f>Table_dat150_[[#This Row],[LogExpenditure]]-Table_dat150_[[#This Row],[Log Quadratic Trend]]</f>
        <v>-3.3300408595262176E-2</v>
      </c>
      <c r="O225" s="9">
        <f t="shared" si="7"/>
        <v>2.6675521376322564E-3</v>
      </c>
      <c r="P225" s="9">
        <f>Table_dat150_[[#This Row],[Log Quadratic Trend]]+Table_dat150_[[#This Row],[Cycle]]</f>
        <v>6.8839732353092575</v>
      </c>
      <c r="Q225" s="9">
        <f>Table_dat150_[[#This Row],[LogExpenditure]]-Table_dat150_[[#This Row],[Log Quadratic Trend]]-Table_dat150_[[#This Row],[Cycle]]</f>
        <v>-3.5967960732894433E-2</v>
      </c>
      <c r="R225" s="9">
        <f>AVERAGEIF(Table_dat150_[Quarter], B225, Table_dat150_[High Frequency])</f>
        <v>-2.8472086212635514E-2</v>
      </c>
      <c r="S225" s="9">
        <f>Table_dat150_[[#This Row],[S0]]-AVERAGE($R$6:$R$9)</f>
        <v>-2.8378545544192432E-2</v>
      </c>
    </row>
    <row r="226" spans="1:19" x14ac:dyDescent="0.3">
      <c r="A226">
        <v>2006</v>
      </c>
      <c r="B226">
        <v>1</v>
      </c>
      <c r="C226" s="1">
        <f>DATE(Table_dat150_[[#This Row],[Year]],(Table_dat150_[[#This Row],[Quarter]]-1)*3+2,15)</f>
        <v>38763</v>
      </c>
      <c r="D226">
        <f>Table_dat150_[[#This Row],[Year]]+1/8+(Table_dat150_[[#This Row],[Quarter]]-1)/4</f>
        <v>2006.125</v>
      </c>
      <c r="E226">
        <f>Table_dat150_[[#This Row],[DecDate]]^2</f>
        <v>4024537.515625</v>
      </c>
      <c r="F226">
        <v>950</v>
      </c>
      <c r="G226" s="8">
        <f>LN(Table_dat150_[[#This Row],[Expenditure]])</f>
        <v>6.8564619845945867</v>
      </c>
      <c r="H226" s="9">
        <f t="shared" si="6"/>
        <v>8.4925690021231421E-3</v>
      </c>
      <c r="I226" s="9">
        <f>(1+Table_dat150_[[#This Row],[gt]])^4 -1</f>
        <v>3.4405473642814988E-2</v>
      </c>
      <c r="J226" s="9">
        <f>$V$18+$V$19*Table_dat150_[[#This Row],[DecDate]]</f>
        <v>976.30813166145708</v>
      </c>
      <c r="K226" s="9">
        <f>$V$37+$V$38*Table_dat150_[[#This Row],[DecDate]]+$V$39*Table_dat150_[[#This Row],[DecDate2]]</f>
        <v>976.42084864916978</v>
      </c>
      <c r="L226" s="9">
        <f>$AF$18+$AF$19*Table_dat150_[[#This Row],[DecDate]]</f>
        <v>6.8828424176014495</v>
      </c>
      <c r="M226" s="9">
        <f>$AF$37+$AF$38*Table_dat150_[[#This Row],[DecDate]]+$AF$39*Table_dat150_[[#This Row],[DecDate2]]</f>
        <v>6.8828754553573965</v>
      </c>
      <c r="N226" s="9">
        <f>Table_dat150_[[#This Row],[LogExpenditure]]-Table_dat150_[[#This Row],[Log Quadratic Trend]]</f>
        <v>-2.6413470762809865E-2</v>
      </c>
      <c r="O226" s="9">
        <f t="shared" si="7"/>
        <v>8.1799564255371493E-3</v>
      </c>
      <c r="P226" s="9">
        <f>Table_dat150_[[#This Row],[Log Quadratic Trend]]+Table_dat150_[[#This Row],[Cycle]]</f>
        <v>6.8910554117829337</v>
      </c>
      <c r="Q226" s="9">
        <f>Table_dat150_[[#This Row],[LogExpenditure]]-Table_dat150_[[#This Row],[Log Quadratic Trend]]-Table_dat150_[[#This Row],[Cycle]]</f>
        <v>-3.4593427188347015E-2</v>
      </c>
      <c r="R226" s="9">
        <f>AVERAGEIF(Table_dat150_[Quarter], B226, Table_dat150_[High Frequency])</f>
        <v>-4.2281954239907563E-2</v>
      </c>
      <c r="S226" s="9">
        <f>Table_dat150_[[#This Row],[S0]]-AVERAGE($R$6:$R$9)</f>
        <v>-4.2188413571464481E-2</v>
      </c>
    </row>
    <row r="227" spans="1:19" x14ac:dyDescent="0.3">
      <c r="A227">
        <v>2006</v>
      </c>
      <c r="B227">
        <v>2</v>
      </c>
      <c r="C227" s="1">
        <f>DATE(Table_dat150_[[#This Row],[Year]],(Table_dat150_[[#This Row],[Quarter]]-1)*3+2,15)</f>
        <v>38852</v>
      </c>
      <c r="D227">
        <f>Table_dat150_[[#This Row],[Year]]+1/8+(Table_dat150_[[#This Row],[Quarter]]-1)/4</f>
        <v>2006.375</v>
      </c>
      <c r="E227">
        <f>Table_dat150_[[#This Row],[DecDate]]^2</f>
        <v>4025540.640625</v>
      </c>
      <c r="F227">
        <v>1048</v>
      </c>
      <c r="G227" s="8">
        <f>LN(Table_dat150_[[#This Row],[Expenditure]])</f>
        <v>6.9546388648809874</v>
      </c>
      <c r="H227" s="9">
        <f t="shared" si="6"/>
        <v>0.1031578947368421</v>
      </c>
      <c r="I227" s="9">
        <f>(1+Table_dat150_[[#This Row],[gt]])^4 -1</f>
        <v>0.48098516913283373</v>
      </c>
      <c r="J227" s="9">
        <f>$V$18+$V$19*Table_dat150_[[#This Row],[DecDate]]</f>
        <v>977.6137872052841</v>
      </c>
      <c r="K227" s="9">
        <f>$V$37+$V$38*Table_dat150_[[#This Row],[DecDate]]+$V$39*Table_dat150_[[#This Row],[DecDate2]]</f>
        <v>977.94663383958687</v>
      </c>
      <c r="L227" s="9">
        <f>$AF$18+$AF$19*Table_dat150_[[#This Row],[DecDate]]</f>
        <v>6.8843484463522246</v>
      </c>
      <c r="M227" s="9">
        <f>$AF$37+$AF$38*Table_dat150_[[#This Row],[DecDate]]+$AF$39*Table_dat150_[[#This Row],[DecDate2]]</f>
        <v>6.8844460049021237</v>
      </c>
      <c r="N227" s="9">
        <f>Table_dat150_[[#This Row],[LogExpenditure]]-Table_dat150_[[#This Row],[Log Quadratic Trend]]</f>
        <v>7.0192859978863709E-2</v>
      </c>
      <c r="O227" s="9">
        <f t="shared" si="7"/>
        <v>1.14728684109485E-2</v>
      </c>
      <c r="P227" s="9">
        <f>Table_dat150_[[#This Row],[Log Quadratic Trend]]+Table_dat150_[[#This Row],[Cycle]]</f>
        <v>6.8959188733130725</v>
      </c>
      <c r="Q227" s="9">
        <f>Table_dat150_[[#This Row],[LogExpenditure]]-Table_dat150_[[#This Row],[Log Quadratic Trend]]-Table_dat150_[[#This Row],[Cycle]]</f>
        <v>5.8719991567915207E-2</v>
      </c>
      <c r="R227" s="9">
        <f>AVERAGEIF(Table_dat150_[Quarter], B227, Table_dat150_[High Frequency])</f>
        <v>3.2923068860816217E-2</v>
      </c>
      <c r="S227" s="9">
        <f>Table_dat150_[[#This Row],[S0]]-AVERAGE($R$6:$R$9)</f>
        <v>3.3016609529259298E-2</v>
      </c>
    </row>
    <row r="228" spans="1:19" x14ac:dyDescent="0.3">
      <c r="A228">
        <v>2006</v>
      </c>
      <c r="B228">
        <v>3</v>
      </c>
      <c r="C228" s="1">
        <f>DATE(Table_dat150_[[#This Row],[Year]],(Table_dat150_[[#This Row],[Quarter]]-1)*3+2,15)</f>
        <v>38944</v>
      </c>
      <c r="D228">
        <f>Table_dat150_[[#This Row],[Year]]+1/8+(Table_dat150_[[#This Row],[Quarter]]-1)/4</f>
        <v>2006.625</v>
      </c>
      <c r="E228">
        <f>Table_dat150_[[#This Row],[DecDate]]^2</f>
        <v>4026543.890625</v>
      </c>
      <c r="F228">
        <v>1006</v>
      </c>
      <c r="G228" s="8">
        <f>LN(Table_dat150_[[#This Row],[Expenditure]])</f>
        <v>6.9137373506596846</v>
      </c>
      <c r="H228" s="9">
        <f t="shared" si="6"/>
        <v>-4.0076335877862593E-2</v>
      </c>
      <c r="I228" s="9">
        <f>(1+Table_dat150_[[#This Row],[gt]])^4 -1</f>
        <v>-0.15092355617675624</v>
      </c>
      <c r="J228" s="9">
        <f>$V$18+$V$19*Table_dat150_[[#This Row],[DecDate]]</f>
        <v>978.91944274911111</v>
      </c>
      <c r="K228" s="9">
        <f>$V$37+$V$38*Table_dat150_[[#This Row],[DecDate]]+$V$39*Table_dat150_[[#This Row],[DecDate2]]</f>
        <v>979.47507119442162</v>
      </c>
      <c r="L228" s="9">
        <f>$AF$18+$AF$19*Table_dat150_[[#This Row],[DecDate]]</f>
        <v>6.8858544751029997</v>
      </c>
      <c r="M228" s="9">
        <f>$AF$37+$AF$38*Table_dat150_[[#This Row],[DecDate]]+$AF$39*Table_dat150_[[#This Row],[DecDate2]]</f>
        <v>6.8860173318058173</v>
      </c>
      <c r="N228" s="9">
        <f>Table_dat150_[[#This Row],[LogExpenditure]]-Table_dat150_[[#This Row],[Log Quadratic Trend]]</f>
        <v>2.7720018853867323E-2</v>
      </c>
      <c r="O228" s="9">
        <f t="shared" si="7"/>
        <v>1.6582747320488523E-2</v>
      </c>
      <c r="P228" s="9">
        <f>Table_dat150_[[#This Row],[Log Quadratic Trend]]+Table_dat150_[[#This Row],[Cycle]]</f>
        <v>6.902600079126306</v>
      </c>
      <c r="Q228" s="9">
        <f>Table_dat150_[[#This Row],[LogExpenditure]]-Table_dat150_[[#This Row],[Log Quadratic Trend]]-Table_dat150_[[#This Row],[Cycle]]</f>
        <v>1.11372715333788E-2</v>
      </c>
      <c r="R228" s="9">
        <f>AVERAGEIF(Table_dat150_[Quarter], B228, Table_dat150_[High Frequency])</f>
        <v>3.7456808917954526E-2</v>
      </c>
      <c r="S228" s="9">
        <f>Table_dat150_[[#This Row],[S0]]-AVERAGE($R$6:$R$9)</f>
        <v>3.7550349586397608E-2</v>
      </c>
    </row>
    <row r="229" spans="1:19" x14ac:dyDescent="0.3">
      <c r="A229">
        <v>2006</v>
      </c>
      <c r="B229">
        <v>4</v>
      </c>
      <c r="C229" s="1">
        <f>DATE(Table_dat150_[[#This Row],[Year]],(Table_dat150_[[#This Row],[Quarter]]-1)*3+2,15)</f>
        <v>39036</v>
      </c>
      <c r="D229">
        <f>Table_dat150_[[#This Row],[Year]]+1/8+(Table_dat150_[[#This Row],[Quarter]]-1)/4</f>
        <v>2006.875</v>
      </c>
      <c r="E229">
        <f>Table_dat150_[[#This Row],[DecDate]]^2</f>
        <v>4027547.265625</v>
      </c>
      <c r="F229">
        <v>999</v>
      </c>
      <c r="G229" s="8">
        <f>LN(Table_dat150_[[#This Row],[Expenditure]])</f>
        <v>6.9067547786485539</v>
      </c>
      <c r="H229" s="9">
        <f t="shared" si="6"/>
        <v>-6.958250497017893E-3</v>
      </c>
      <c r="I229" s="9">
        <f>(1+Table_dat150_[[#This Row],[gt]])^4 -1</f>
        <v>-2.7543843741380969E-2</v>
      </c>
      <c r="J229" s="9">
        <f>$V$18+$V$19*Table_dat150_[[#This Row],[DecDate]]</f>
        <v>980.22509829293631</v>
      </c>
      <c r="K229" s="9">
        <f>$V$37+$V$38*Table_dat150_[[#This Row],[DecDate]]+$V$39*Table_dat150_[[#This Row],[DecDate2]]</f>
        <v>981.00616071363038</v>
      </c>
      <c r="L229" s="9">
        <f>$AF$18+$AF$19*Table_dat150_[[#This Row],[DecDate]]</f>
        <v>6.8873605038537749</v>
      </c>
      <c r="M229" s="9">
        <f>$AF$37+$AF$38*Table_dat150_[[#This Row],[DecDate]]+$AF$39*Table_dat150_[[#This Row],[DecDate2]]</f>
        <v>6.8875894360684704</v>
      </c>
      <c r="N229" s="9">
        <f>Table_dat150_[[#This Row],[LogExpenditure]]-Table_dat150_[[#This Row],[Log Quadratic Trend]]</f>
        <v>1.9165342580083511E-2</v>
      </c>
      <c r="O229" s="9">
        <f t="shared" si="7"/>
        <v>2.7457289943008868E-2</v>
      </c>
      <c r="P229" s="9">
        <f>Table_dat150_[[#This Row],[Log Quadratic Trend]]+Table_dat150_[[#This Row],[Cycle]]</f>
        <v>6.9150467260114796</v>
      </c>
      <c r="Q229" s="9">
        <f>Table_dat150_[[#This Row],[LogExpenditure]]-Table_dat150_[[#This Row],[Log Quadratic Trend]]-Table_dat150_[[#This Row],[Cycle]]</f>
        <v>-8.2919473629253573E-3</v>
      </c>
      <c r="R229" s="9">
        <f>AVERAGEIF(Table_dat150_[Quarter], B229, Table_dat150_[High Frequency])</f>
        <v>-2.8472086212635514E-2</v>
      </c>
      <c r="S229" s="9">
        <f>Table_dat150_[[#This Row],[S0]]-AVERAGE($R$6:$R$9)</f>
        <v>-2.8378545544192432E-2</v>
      </c>
    </row>
    <row r="230" spans="1:19" x14ac:dyDescent="0.3">
      <c r="A230">
        <v>2007</v>
      </c>
      <c r="B230">
        <v>1</v>
      </c>
      <c r="C230" s="1">
        <f>DATE(Table_dat150_[[#This Row],[Year]],(Table_dat150_[[#This Row],[Quarter]]-1)*3+2,15)</f>
        <v>39128</v>
      </c>
      <c r="D230">
        <f>Table_dat150_[[#This Row],[Year]]+1/8+(Table_dat150_[[#This Row],[Quarter]]-1)/4</f>
        <v>2007.125</v>
      </c>
      <c r="E230">
        <f>Table_dat150_[[#This Row],[DecDate]]^2</f>
        <v>4028550.765625</v>
      </c>
      <c r="F230">
        <v>974</v>
      </c>
      <c r="G230" s="8">
        <f>LN(Table_dat150_[[#This Row],[Expenditure]])</f>
        <v>6.8814113036425351</v>
      </c>
      <c r="H230" s="9">
        <f t="shared" si="6"/>
        <v>-2.5025025025025027E-2</v>
      </c>
      <c r="I230" s="9">
        <f>(1+Table_dat150_[[#This Row],[gt]])^4 -1</f>
        <v>-9.6404884519293188E-2</v>
      </c>
      <c r="J230" s="9">
        <f>$V$18+$V$19*Table_dat150_[[#This Row],[DecDate]]</f>
        <v>981.53075383676332</v>
      </c>
      <c r="K230" s="9">
        <f>$V$37+$V$38*Table_dat150_[[#This Row],[DecDate]]+$V$39*Table_dat150_[[#This Row],[DecDate2]]</f>
        <v>982.53990239730047</v>
      </c>
      <c r="L230" s="9">
        <f>$AF$18+$AF$19*Table_dat150_[[#This Row],[DecDate]]</f>
        <v>6.88886653260455</v>
      </c>
      <c r="M230" s="9">
        <f>$AF$37+$AF$38*Table_dat150_[[#This Row],[DecDate]]+$AF$39*Table_dat150_[[#This Row],[DecDate2]]</f>
        <v>6.8891623176900971</v>
      </c>
      <c r="N230" s="9">
        <f>Table_dat150_[[#This Row],[LogExpenditure]]-Table_dat150_[[#This Row],[Log Quadratic Trend]]</f>
        <v>-7.7510140475620659E-3</v>
      </c>
      <c r="O230" s="9">
        <f t="shared" si="7"/>
        <v>2.0468216600854384E-2</v>
      </c>
      <c r="P230" s="9">
        <f>Table_dat150_[[#This Row],[Log Quadratic Trend]]+Table_dat150_[[#This Row],[Cycle]]</f>
        <v>6.9096305342909519</v>
      </c>
      <c r="Q230" s="9">
        <f>Table_dat150_[[#This Row],[LogExpenditure]]-Table_dat150_[[#This Row],[Log Quadratic Trend]]-Table_dat150_[[#This Row],[Cycle]]</f>
        <v>-2.821923064841645E-2</v>
      </c>
      <c r="R230" s="9">
        <f>AVERAGEIF(Table_dat150_[Quarter], B230, Table_dat150_[High Frequency])</f>
        <v>-4.2281954239907563E-2</v>
      </c>
      <c r="S230" s="9">
        <f>Table_dat150_[[#This Row],[S0]]-AVERAGE($R$6:$R$9)</f>
        <v>-4.2188413571464481E-2</v>
      </c>
    </row>
    <row r="231" spans="1:19" x14ac:dyDescent="0.3">
      <c r="A231">
        <v>2007</v>
      </c>
      <c r="B231">
        <v>2</v>
      </c>
      <c r="C231" s="1">
        <f>DATE(Table_dat150_[[#This Row],[Year]],(Table_dat150_[[#This Row],[Quarter]]-1)*3+2,15)</f>
        <v>39217</v>
      </c>
      <c r="D231">
        <f>Table_dat150_[[#This Row],[Year]]+1/8+(Table_dat150_[[#This Row],[Quarter]]-1)/4</f>
        <v>2007.375</v>
      </c>
      <c r="E231">
        <f>Table_dat150_[[#This Row],[DecDate]]^2</f>
        <v>4029554.390625</v>
      </c>
      <c r="F231">
        <v>1011</v>
      </c>
      <c r="G231" s="8">
        <f>LN(Table_dat150_[[#This Row],[Expenditure]])</f>
        <v>6.9186952190204716</v>
      </c>
      <c r="H231" s="9">
        <f t="shared" si="6"/>
        <v>3.7987679671457907E-2</v>
      </c>
      <c r="I231" s="9">
        <f>(1+Table_dat150_[[#This Row],[gt]])^4 -1</f>
        <v>0.16083045854246625</v>
      </c>
      <c r="J231" s="9">
        <f>$V$18+$V$19*Table_dat150_[[#This Row],[DecDate]]</f>
        <v>982.83640938059034</v>
      </c>
      <c r="K231" s="9">
        <f>$V$37+$V$38*Table_dat150_[[#This Row],[DecDate]]+$V$39*Table_dat150_[[#This Row],[DecDate2]]</f>
        <v>984.07629624537367</v>
      </c>
      <c r="L231" s="9">
        <f>$AF$18+$AF$19*Table_dat150_[[#This Row],[DecDate]]</f>
        <v>6.8903725613553268</v>
      </c>
      <c r="M231" s="9">
        <f>$AF$37+$AF$38*Table_dat150_[[#This Row],[DecDate]]+$AF$39*Table_dat150_[[#This Row],[DecDate2]]</f>
        <v>6.8907359766706797</v>
      </c>
      <c r="N231" s="9">
        <f>Table_dat150_[[#This Row],[LogExpenditure]]-Table_dat150_[[#This Row],[Log Quadratic Trend]]</f>
        <v>2.7959242349791857E-2</v>
      </c>
      <c r="O231" s="9">
        <f t="shared" si="7"/>
        <v>1.2018248380420538E-2</v>
      </c>
      <c r="P231" s="9">
        <f>Table_dat150_[[#This Row],[Log Quadratic Trend]]+Table_dat150_[[#This Row],[Cycle]]</f>
        <v>6.9027542250511003</v>
      </c>
      <c r="Q231" s="9">
        <f>Table_dat150_[[#This Row],[LogExpenditure]]-Table_dat150_[[#This Row],[Log Quadratic Trend]]-Table_dat150_[[#This Row],[Cycle]]</f>
        <v>1.594099396937132E-2</v>
      </c>
      <c r="R231" s="9">
        <f>AVERAGEIF(Table_dat150_[Quarter], B231, Table_dat150_[High Frequency])</f>
        <v>3.2923068860816217E-2</v>
      </c>
      <c r="S231" s="9">
        <f>Table_dat150_[[#This Row],[S0]]-AVERAGE($R$6:$R$9)</f>
        <v>3.3016609529259298E-2</v>
      </c>
    </row>
    <row r="232" spans="1:19" x14ac:dyDescent="0.3">
      <c r="A232">
        <v>2007</v>
      </c>
      <c r="B232">
        <v>3</v>
      </c>
      <c r="C232" s="1">
        <f>DATE(Table_dat150_[[#This Row],[Year]],(Table_dat150_[[#This Row],[Quarter]]-1)*3+2,15)</f>
        <v>39309</v>
      </c>
      <c r="D232">
        <f>Table_dat150_[[#This Row],[Year]]+1/8+(Table_dat150_[[#This Row],[Quarter]]-1)/4</f>
        <v>2007.625</v>
      </c>
      <c r="E232">
        <f>Table_dat150_[[#This Row],[DecDate]]^2</f>
        <v>4030558.140625</v>
      </c>
      <c r="F232">
        <v>1020</v>
      </c>
      <c r="G232" s="8">
        <f>LN(Table_dat150_[[#This Row],[Expenditure]])</f>
        <v>6.9275579062783166</v>
      </c>
      <c r="H232" s="9">
        <f t="shared" si="6"/>
        <v>8.9020771513353119E-3</v>
      </c>
      <c r="I232" s="9">
        <f>(1+Table_dat150_[[#This Row],[gt]])^4 -1</f>
        <v>3.6086618601909315E-2</v>
      </c>
      <c r="J232" s="9">
        <f>$V$18+$V$19*Table_dat150_[[#This Row],[DecDate]]</f>
        <v>984.14206492441554</v>
      </c>
      <c r="K232" s="9">
        <f>$V$37+$V$38*Table_dat150_[[#This Row],[DecDate]]+$V$39*Table_dat150_[[#This Row],[DecDate2]]</f>
        <v>985.61534225786454</v>
      </c>
      <c r="L232" s="9">
        <f>$AF$18+$AF$19*Table_dat150_[[#This Row],[DecDate]]</f>
        <v>6.8918785901061019</v>
      </c>
      <c r="M232" s="9">
        <f>$AF$37+$AF$38*Table_dat150_[[#This Row],[DecDate]]+$AF$39*Table_dat150_[[#This Row],[DecDate2]]</f>
        <v>6.8923104130102253</v>
      </c>
      <c r="N232" s="9">
        <f>Table_dat150_[[#This Row],[LogExpenditure]]-Table_dat150_[[#This Row],[Log Quadratic Trend]]</f>
        <v>3.524749326809129E-2</v>
      </c>
      <c r="O232" s="9">
        <f t="shared" si="7"/>
        <v>2.2710712878490471E-3</v>
      </c>
      <c r="P232" s="9">
        <f>Table_dat150_[[#This Row],[Log Quadratic Trend]]+Table_dat150_[[#This Row],[Cycle]]</f>
        <v>6.8945814842980742</v>
      </c>
      <c r="Q232" s="9">
        <f>Table_dat150_[[#This Row],[LogExpenditure]]-Table_dat150_[[#This Row],[Log Quadratic Trend]]-Table_dat150_[[#This Row],[Cycle]]</f>
        <v>3.297642198024224E-2</v>
      </c>
      <c r="R232" s="9">
        <f>AVERAGEIF(Table_dat150_[Quarter], B232, Table_dat150_[High Frequency])</f>
        <v>3.7456808917954526E-2</v>
      </c>
      <c r="S232" s="9">
        <f>Table_dat150_[[#This Row],[S0]]-AVERAGE($R$6:$R$9)</f>
        <v>3.7550349586397608E-2</v>
      </c>
    </row>
    <row r="233" spans="1:19" x14ac:dyDescent="0.3">
      <c r="A233">
        <v>2007</v>
      </c>
      <c r="B233">
        <v>4</v>
      </c>
      <c r="C233" s="1">
        <f>DATE(Table_dat150_[[#This Row],[Year]],(Table_dat150_[[#This Row],[Quarter]]-1)*3+2,15)</f>
        <v>39401</v>
      </c>
      <c r="D233">
        <f>Table_dat150_[[#This Row],[Year]]+1/8+(Table_dat150_[[#This Row],[Quarter]]-1)/4</f>
        <v>2007.875</v>
      </c>
      <c r="E233">
        <f>Table_dat150_[[#This Row],[DecDate]]^2</f>
        <v>4031562.015625</v>
      </c>
      <c r="F233">
        <v>972</v>
      </c>
      <c r="G233" s="8">
        <f>LN(Table_dat150_[[#This Row],[Expenditure]])</f>
        <v>6.879355804460439</v>
      </c>
      <c r="H233" s="9">
        <f t="shared" si="6"/>
        <v>-4.7058823529411764E-2</v>
      </c>
      <c r="I233" s="9">
        <f>(1+Table_dat150_[[#This Row],[gt]])^4 -1</f>
        <v>-0.17536004597646115</v>
      </c>
      <c r="J233" s="9">
        <f>$V$18+$V$19*Table_dat150_[[#This Row],[DecDate]]</f>
        <v>985.44772046824255</v>
      </c>
      <c r="K233" s="9">
        <f>$V$37+$V$38*Table_dat150_[[#This Row],[DecDate]]+$V$39*Table_dat150_[[#This Row],[DecDate2]]</f>
        <v>987.15704043478763</v>
      </c>
      <c r="L233" s="9">
        <f>$AF$18+$AF$19*Table_dat150_[[#This Row],[DecDate]]</f>
        <v>6.893384618856877</v>
      </c>
      <c r="M233" s="9">
        <f>$AF$37+$AF$38*Table_dat150_[[#This Row],[DecDate]]+$AF$39*Table_dat150_[[#This Row],[DecDate2]]</f>
        <v>6.8938856267087409</v>
      </c>
      <c r="N233" s="9">
        <f>Table_dat150_[[#This Row],[LogExpenditure]]-Table_dat150_[[#This Row],[Log Quadratic Trend]]</f>
        <v>-1.4529822248301905E-2</v>
      </c>
      <c r="O233" s="9">
        <f t="shared" si="7"/>
        <v>6.9621609594673114E-3</v>
      </c>
      <c r="P233" s="9">
        <f>Table_dat150_[[#This Row],[Log Quadratic Trend]]+Table_dat150_[[#This Row],[Cycle]]</f>
        <v>6.9008477876682086</v>
      </c>
      <c r="Q233" s="9">
        <f>Table_dat150_[[#This Row],[LogExpenditure]]-Table_dat150_[[#This Row],[Log Quadratic Trend]]-Table_dat150_[[#This Row],[Cycle]]</f>
        <v>-2.1491983207769218E-2</v>
      </c>
      <c r="R233" s="9">
        <f>AVERAGEIF(Table_dat150_[Quarter], B233, Table_dat150_[High Frequency])</f>
        <v>-2.8472086212635514E-2</v>
      </c>
      <c r="S233" s="9">
        <f>Table_dat150_[[#This Row],[S0]]-AVERAGE($R$6:$R$9)</f>
        <v>-2.8378545544192432E-2</v>
      </c>
    </row>
    <row r="234" spans="1:19" x14ac:dyDescent="0.3">
      <c r="A234">
        <v>2008</v>
      </c>
      <c r="B234">
        <v>1</v>
      </c>
      <c r="C234" s="1">
        <f>DATE(Table_dat150_[[#This Row],[Year]],(Table_dat150_[[#This Row],[Quarter]]-1)*3+2,15)</f>
        <v>39493</v>
      </c>
      <c r="D234">
        <f>Table_dat150_[[#This Row],[Year]]+1/8+(Table_dat150_[[#This Row],[Quarter]]-1)/4</f>
        <v>2008.125</v>
      </c>
      <c r="E234">
        <f>Table_dat150_[[#This Row],[DecDate]]^2</f>
        <v>4032566.015625</v>
      </c>
      <c r="F234">
        <v>959</v>
      </c>
      <c r="G234" s="8">
        <f>LN(Table_dat150_[[#This Row],[Expenditure]])</f>
        <v>6.8658910748834385</v>
      </c>
      <c r="H234" s="9">
        <f t="shared" si="6"/>
        <v>-1.3374485596707819E-2</v>
      </c>
      <c r="I234" s="9">
        <f>(1+Table_dat150_[[#This Row],[gt]])^4 -1</f>
        <v>-5.2434218744256134E-2</v>
      </c>
      <c r="J234" s="9">
        <f>$V$18+$V$19*Table_dat150_[[#This Row],[DecDate]]</f>
        <v>986.75337601206957</v>
      </c>
      <c r="K234" s="9">
        <f>$V$37+$V$38*Table_dat150_[[#This Row],[DecDate]]+$V$39*Table_dat150_[[#This Row],[DecDate2]]</f>
        <v>988.70139077611384</v>
      </c>
      <c r="L234" s="9">
        <f>$AF$18+$AF$19*Table_dat150_[[#This Row],[DecDate]]</f>
        <v>6.8948906476076521</v>
      </c>
      <c r="M234" s="9">
        <f>$AF$37+$AF$38*Table_dat150_[[#This Row],[DecDate]]+$AF$39*Table_dat150_[[#This Row],[DecDate2]]</f>
        <v>6.8954616177662125</v>
      </c>
      <c r="N234" s="9">
        <f>Table_dat150_[[#This Row],[LogExpenditure]]-Table_dat150_[[#This Row],[Log Quadratic Trend]]</f>
        <v>-2.9570542882773942E-2</v>
      </c>
      <c r="O234" s="9">
        <f t="shared" si="7"/>
        <v>1.2574899074096101E-2</v>
      </c>
      <c r="P234" s="9">
        <f>Table_dat150_[[#This Row],[Log Quadratic Trend]]+Table_dat150_[[#This Row],[Cycle]]</f>
        <v>6.9080365168403084</v>
      </c>
      <c r="Q234" s="9">
        <f>Table_dat150_[[#This Row],[LogExpenditure]]-Table_dat150_[[#This Row],[Log Quadratic Trend]]-Table_dat150_[[#This Row],[Cycle]]</f>
        <v>-4.2145441956870047E-2</v>
      </c>
      <c r="R234" s="9">
        <f>AVERAGEIF(Table_dat150_[Quarter], B234, Table_dat150_[High Frequency])</f>
        <v>-4.2281954239907563E-2</v>
      </c>
      <c r="S234" s="9">
        <f>Table_dat150_[[#This Row],[S0]]-AVERAGE($R$6:$R$9)</f>
        <v>-4.2188413571464481E-2</v>
      </c>
    </row>
    <row r="235" spans="1:19" x14ac:dyDescent="0.3">
      <c r="A235">
        <v>2008</v>
      </c>
      <c r="B235">
        <v>2</v>
      </c>
      <c r="C235" s="1">
        <f>DATE(Table_dat150_[[#This Row],[Year]],(Table_dat150_[[#This Row],[Quarter]]-1)*3+2,15)</f>
        <v>39583</v>
      </c>
      <c r="D235">
        <f>Table_dat150_[[#This Row],[Year]]+1/8+(Table_dat150_[[#This Row],[Quarter]]-1)/4</f>
        <v>2008.375</v>
      </c>
      <c r="E235">
        <f>Table_dat150_[[#This Row],[DecDate]]^2</f>
        <v>4033570.140625</v>
      </c>
      <c r="F235">
        <v>1005</v>
      </c>
      <c r="G235" s="8">
        <f>LN(Table_dat150_[[#This Row],[Expenditure]])</f>
        <v>6.9127428204931762</v>
      </c>
      <c r="H235" s="9">
        <f t="shared" si="6"/>
        <v>4.7966631908237745E-2</v>
      </c>
      <c r="I235" s="9">
        <f>(1+Table_dat150_[[#This Row],[gt]])^4 -1</f>
        <v>0.20611805404326744</v>
      </c>
      <c r="J235" s="9">
        <f>$V$18+$V$19*Table_dat150_[[#This Row],[DecDate]]</f>
        <v>988.05903155589476</v>
      </c>
      <c r="K235" s="9">
        <f>$V$37+$V$38*Table_dat150_[[#This Row],[DecDate]]+$V$39*Table_dat150_[[#This Row],[DecDate2]]</f>
        <v>990.24839328185772</v>
      </c>
      <c r="L235" s="9">
        <f>$AF$18+$AF$19*Table_dat150_[[#This Row],[DecDate]]</f>
        <v>6.8963966763584272</v>
      </c>
      <c r="M235" s="9">
        <f>$AF$37+$AF$38*Table_dat150_[[#This Row],[DecDate]]+$AF$39*Table_dat150_[[#This Row],[DecDate2]]</f>
        <v>6.897038386182647</v>
      </c>
      <c r="N235" s="9">
        <f>Table_dat150_[[#This Row],[LogExpenditure]]-Table_dat150_[[#This Row],[Log Quadratic Trend]]</f>
        <v>1.5704434310529258E-2</v>
      </c>
      <c r="O235" s="9">
        <f t="shared" si="7"/>
        <v>6.2360009189143641E-3</v>
      </c>
      <c r="P235" s="9">
        <f>Table_dat150_[[#This Row],[Log Quadratic Trend]]+Table_dat150_[[#This Row],[Cycle]]</f>
        <v>6.9032743871015612</v>
      </c>
      <c r="Q235" s="9">
        <f>Table_dat150_[[#This Row],[LogExpenditure]]-Table_dat150_[[#This Row],[Log Quadratic Trend]]-Table_dat150_[[#This Row],[Cycle]]</f>
        <v>9.4684333916148951E-3</v>
      </c>
      <c r="R235" s="9">
        <f>AVERAGEIF(Table_dat150_[Quarter], B235, Table_dat150_[High Frequency])</f>
        <v>3.2923068860816217E-2</v>
      </c>
      <c r="S235" s="9">
        <f>Table_dat150_[[#This Row],[S0]]-AVERAGE($R$6:$R$9)</f>
        <v>3.3016609529259298E-2</v>
      </c>
    </row>
    <row r="236" spans="1:19" x14ac:dyDescent="0.3">
      <c r="A236">
        <v>2008</v>
      </c>
      <c r="B236">
        <v>3</v>
      </c>
      <c r="C236" s="1">
        <f>DATE(Table_dat150_[[#This Row],[Year]],(Table_dat150_[[#This Row],[Quarter]]-1)*3+2,15)</f>
        <v>39675</v>
      </c>
      <c r="D236">
        <f>Table_dat150_[[#This Row],[Year]]+1/8+(Table_dat150_[[#This Row],[Quarter]]-1)/4</f>
        <v>2008.625</v>
      </c>
      <c r="E236">
        <f>Table_dat150_[[#This Row],[DecDate]]^2</f>
        <v>4034574.390625</v>
      </c>
      <c r="F236">
        <v>1048</v>
      </c>
      <c r="G236" s="8">
        <f>LN(Table_dat150_[[#This Row],[Expenditure]])</f>
        <v>6.9546388648809874</v>
      </c>
      <c r="H236" s="9">
        <f t="shared" si="6"/>
        <v>4.2786069651741296E-2</v>
      </c>
      <c r="I236" s="9">
        <f>(1+Table_dat150_[[#This Row],[gt]])^4 -1</f>
        <v>0.1824448213052603</v>
      </c>
      <c r="J236" s="9">
        <f>$V$18+$V$19*Table_dat150_[[#This Row],[DecDate]]</f>
        <v>989.36468709972178</v>
      </c>
      <c r="K236" s="9">
        <f>$V$37+$V$38*Table_dat150_[[#This Row],[DecDate]]+$V$39*Table_dat150_[[#This Row],[DecDate2]]</f>
        <v>991.79804795199016</v>
      </c>
      <c r="L236" s="9">
        <f>$AF$18+$AF$19*Table_dat150_[[#This Row],[DecDate]]</f>
        <v>6.8979027051092023</v>
      </c>
      <c r="M236" s="9">
        <f>$AF$37+$AF$38*Table_dat150_[[#This Row],[DecDate]]+$AF$39*Table_dat150_[[#This Row],[DecDate2]]</f>
        <v>6.8986159319580516</v>
      </c>
      <c r="N236" s="9">
        <f>Table_dat150_[[#This Row],[LogExpenditure]]-Table_dat150_[[#This Row],[Log Quadratic Trend]]</f>
        <v>5.6022932922935809E-2</v>
      </c>
      <c r="O236" s="9">
        <f t="shared" si="7"/>
        <v>4.8641106886279321E-3</v>
      </c>
      <c r="P236" s="9">
        <f>Table_dat150_[[#This Row],[Log Quadratic Trend]]+Table_dat150_[[#This Row],[Cycle]]</f>
        <v>6.9034800426466791</v>
      </c>
      <c r="Q236" s="9">
        <f>Table_dat150_[[#This Row],[LogExpenditure]]-Table_dat150_[[#This Row],[Log Quadratic Trend]]-Table_dat150_[[#This Row],[Cycle]]</f>
        <v>5.1158822234307878E-2</v>
      </c>
      <c r="R236" s="9">
        <f>AVERAGEIF(Table_dat150_[Quarter], B236, Table_dat150_[High Frequency])</f>
        <v>3.7456808917954526E-2</v>
      </c>
      <c r="S236" s="9">
        <f>Table_dat150_[[#This Row],[S0]]-AVERAGE($R$6:$R$9)</f>
        <v>3.7550349586397608E-2</v>
      </c>
    </row>
    <row r="237" spans="1:19" x14ac:dyDescent="0.3">
      <c r="A237">
        <v>2008</v>
      </c>
      <c r="B237">
        <v>4</v>
      </c>
      <c r="C237" s="1">
        <f>DATE(Table_dat150_[[#This Row],[Year]],(Table_dat150_[[#This Row],[Quarter]]-1)*3+2,15)</f>
        <v>39767</v>
      </c>
      <c r="D237">
        <f>Table_dat150_[[#This Row],[Year]]+1/8+(Table_dat150_[[#This Row],[Quarter]]-1)/4</f>
        <v>2008.875</v>
      </c>
      <c r="E237">
        <f>Table_dat150_[[#This Row],[DecDate]]^2</f>
        <v>4035578.765625</v>
      </c>
      <c r="F237">
        <v>996</v>
      </c>
      <c r="G237" s="8">
        <f>LN(Table_dat150_[[#This Row],[Expenditure]])</f>
        <v>6.9037472575845982</v>
      </c>
      <c r="H237" s="9">
        <f t="shared" si="6"/>
        <v>-4.9618320610687022E-2</v>
      </c>
      <c r="I237" s="9">
        <f>(1+Table_dat150_[[#This Row],[gt]])^4 -1</f>
        <v>-0.18418399147040865</v>
      </c>
      <c r="J237" s="9">
        <f>$V$18+$V$19*Table_dat150_[[#This Row],[DecDate]]</f>
        <v>990.67034264354879</v>
      </c>
      <c r="K237" s="9">
        <f>$V$37+$V$38*Table_dat150_[[#This Row],[DecDate]]+$V$39*Table_dat150_[[#This Row],[DecDate2]]</f>
        <v>993.35035478656937</v>
      </c>
      <c r="L237" s="9">
        <f>$AF$18+$AF$19*Table_dat150_[[#This Row],[DecDate]]</f>
        <v>6.8994087338599792</v>
      </c>
      <c r="M237" s="9">
        <f>$AF$37+$AF$38*Table_dat150_[[#This Row],[DecDate]]+$AF$39*Table_dat150_[[#This Row],[DecDate2]]</f>
        <v>6.9001942550924156</v>
      </c>
      <c r="N237" s="9">
        <f>Table_dat150_[[#This Row],[LogExpenditure]]-Table_dat150_[[#This Row],[Log Quadratic Trend]]</f>
        <v>3.5530024921825998E-3</v>
      </c>
      <c r="O237" s="9">
        <f t="shared" si="7"/>
        <v>1.5030051787287491E-2</v>
      </c>
      <c r="P237" s="9">
        <f>Table_dat150_[[#This Row],[Log Quadratic Trend]]+Table_dat150_[[#This Row],[Cycle]]</f>
        <v>6.9152243068797032</v>
      </c>
      <c r="Q237" s="9">
        <f>Table_dat150_[[#This Row],[LogExpenditure]]-Table_dat150_[[#This Row],[Log Quadratic Trend]]-Table_dat150_[[#This Row],[Cycle]]</f>
        <v>-1.1477049295104891E-2</v>
      </c>
      <c r="R237" s="9">
        <f>AVERAGEIF(Table_dat150_[Quarter], B237, Table_dat150_[High Frequency])</f>
        <v>-2.8472086212635514E-2</v>
      </c>
      <c r="S237" s="9">
        <f>Table_dat150_[[#This Row],[S0]]-AVERAGE($R$6:$R$9)</f>
        <v>-2.8378545544192432E-2</v>
      </c>
    </row>
    <row r="238" spans="1:19" x14ac:dyDescent="0.3">
      <c r="A238">
        <v>2009</v>
      </c>
      <c r="B238">
        <v>1</v>
      </c>
      <c r="C238" s="1">
        <f>DATE(Table_dat150_[[#This Row],[Year]],(Table_dat150_[[#This Row],[Quarter]]-1)*3+2,15)</f>
        <v>39859</v>
      </c>
      <c r="D238">
        <f>Table_dat150_[[#This Row],[Year]]+1/8+(Table_dat150_[[#This Row],[Quarter]]-1)/4</f>
        <v>2009.125</v>
      </c>
      <c r="E238">
        <f>Table_dat150_[[#This Row],[DecDate]]^2</f>
        <v>4036583.265625</v>
      </c>
      <c r="F238">
        <v>973</v>
      </c>
      <c r="G238" s="8">
        <f>LN(Table_dat150_[[#This Row],[Expenditure]])</f>
        <v>6.8803840821860049</v>
      </c>
      <c r="H238" s="9">
        <f t="shared" si="6"/>
        <v>-2.3092369477911646E-2</v>
      </c>
      <c r="I238" s="9">
        <f>(1+Table_dat150_[[#This Row],[gt]])^4 -1</f>
        <v>-8.9218905098892298E-2</v>
      </c>
      <c r="J238" s="9">
        <f>$V$18+$V$19*Table_dat150_[[#This Row],[DecDate]]</f>
        <v>991.97599818737581</v>
      </c>
      <c r="K238" s="9">
        <f>$V$37+$V$38*Table_dat150_[[#This Row],[DecDate]]+$V$39*Table_dat150_[[#This Row],[DecDate2]]</f>
        <v>994.90531378556625</v>
      </c>
      <c r="L238" s="9">
        <f>$AF$18+$AF$19*Table_dat150_[[#This Row],[DecDate]]</f>
        <v>6.9009147626107543</v>
      </c>
      <c r="M238" s="9">
        <f>$AF$37+$AF$38*Table_dat150_[[#This Row],[DecDate]]+$AF$39*Table_dat150_[[#This Row],[DecDate2]]</f>
        <v>6.901773355585739</v>
      </c>
      <c r="N238" s="9">
        <f>Table_dat150_[[#This Row],[LogExpenditure]]-Table_dat150_[[#This Row],[Log Quadratic Trend]]</f>
        <v>-2.1389273399734066E-2</v>
      </c>
      <c r="O238" s="9">
        <f t="shared" si="7"/>
        <v>1.4443509162385482E-2</v>
      </c>
      <c r="P238" s="9">
        <f>Table_dat150_[[#This Row],[Log Quadratic Trend]]+Table_dat150_[[#This Row],[Cycle]]</f>
        <v>6.9162168647481241</v>
      </c>
      <c r="Q238" s="9">
        <f>Table_dat150_[[#This Row],[LogExpenditure]]-Table_dat150_[[#This Row],[Log Quadratic Trend]]-Table_dat150_[[#This Row],[Cycle]]</f>
        <v>-3.5832782562119546E-2</v>
      </c>
      <c r="R238" s="9">
        <f>AVERAGEIF(Table_dat150_[Quarter], B238, Table_dat150_[High Frequency])</f>
        <v>-4.2281954239907563E-2</v>
      </c>
      <c r="S238" s="9">
        <f>Table_dat150_[[#This Row],[S0]]-AVERAGE($R$6:$R$9)</f>
        <v>-4.2188413571464481E-2</v>
      </c>
    </row>
    <row r="239" spans="1:19" x14ac:dyDescent="0.3">
      <c r="A239">
        <v>2009</v>
      </c>
      <c r="B239">
        <v>2</v>
      </c>
      <c r="C239" s="1">
        <f>DATE(Table_dat150_[[#This Row],[Year]],(Table_dat150_[[#This Row],[Quarter]]-1)*3+2,15)</f>
        <v>39948</v>
      </c>
      <c r="D239">
        <f>Table_dat150_[[#This Row],[Year]]+1/8+(Table_dat150_[[#This Row],[Quarter]]-1)/4</f>
        <v>2009.375</v>
      </c>
      <c r="E239">
        <f>Table_dat150_[[#This Row],[DecDate]]^2</f>
        <v>4037587.890625</v>
      </c>
      <c r="F239">
        <v>1017</v>
      </c>
      <c r="G239" s="8">
        <f>LN(Table_dat150_[[#This Row],[Expenditure]])</f>
        <v>6.9246123960485599</v>
      </c>
      <c r="H239" s="9">
        <f t="shared" si="6"/>
        <v>4.5220966084275435E-2</v>
      </c>
      <c r="I239" s="9">
        <f>(1+Table_dat150_[[#This Row],[gt]])^4 -1</f>
        <v>0.19352755662604038</v>
      </c>
      <c r="J239" s="9">
        <f>$V$18+$V$19*Table_dat150_[[#This Row],[DecDate]]</f>
        <v>993.281653731201</v>
      </c>
      <c r="K239" s="9">
        <f>$V$37+$V$38*Table_dat150_[[#This Row],[DecDate]]+$V$39*Table_dat150_[[#This Row],[DecDate2]]</f>
        <v>996.4629249489808</v>
      </c>
      <c r="L239" s="9">
        <f>$AF$18+$AF$19*Table_dat150_[[#This Row],[DecDate]]</f>
        <v>6.9024207913615294</v>
      </c>
      <c r="M239" s="9">
        <f>$AF$37+$AF$38*Table_dat150_[[#This Row],[DecDate]]+$AF$39*Table_dat150_[[#This Row],[DecDate2]]</f>
        <v>6.9033532334380361</v>
      </c>
      <c r="N239" s="9">
        <f>Table_dat150_[[#This Row],[LogExpenditure]]-Table_dat150_[[#This Row],[Log Quadratic Trend]]</f>
        <v>2.1259162610523852E-2</v>
      </c>
      <c r="O239" s="9">
        <f t="shared" si="7"/>
        <v>-1.3716243834835495E-3</v>
      </c>
      <c r="P239" s="9">
        <f>Table_dat150_[[#This Row],[Log Quadratic Trend]]+Table_dat150_[[#This Row],[Cycle]]</f>
        <v>6.9019816090545527</v>
      </c>
      <c r="Q239" s="9">
        <f>Table_dat150_[[#This Row],[LogExpenditure]]-Table_dat150_[[#This Row],[Log Quadratic Trend]]-Table_dat150_[[#This Row],[Cycle]]</f>
        <v>2.2630786994007401E-2</v>
      </c>
      <c r="R239" s="9">
        <f>AVERAGEIF(Table_dat150_[Quarter], B239, Table_dat150_[High Frequency])</f>
        <v>3.2923068860816217E-2</v>
      </c>
      <c r="S239" s="9">
        <f>Table_dat150_[[#This Row],[S0]]-AVERAGE($R$6:$R$9)</f>
        <v>3.3016609529259298E-2</v>
      </c>
    </row>
    <row r="240" spans="1:19" x14ac:dyDescent="0.3">
      <c r="A240">
        <v>2009</v>
      </c>
      <c r="B240">
        <v>3</v>
      </c>
      <c r="C240" s="1">
        <f>DATE(Table_dat150_[[#This Row],[Year]],(Table_dat150_[[#This Row],[Quarter]]-1)*3+2,15)</f>
        <v>40040</v>
      </c>
      <c r="D240">
        <f>Table_dat150_[[#This Row],[Year]]+1/8+(Table_dat150_[[#This Row],[Quarter]]-1)/4</f>
        <v>2009.625</v>
      </c>
      <c r="E240">
        <f>Table_dat150_[[#This Row],[DecDate]]^2</f>
        <v>4038592.640625</v>
      </c>
      <c r="F240">
        <v>1010</v>
      </c>
      <c r="G240" s="8">
        <f>LN(Table_dat150_[[#This Row],[Expenditure]])</f>
        <v>6.9177056098353047</v>
      </c>
      <c r="H240" s="9">
        <f t="shared" si="6"/>
        <v>-6.8829891838741398E-3</v>
      </c>
      <c r="I240" s="9">
        <f>(1+Table_dat150_[[#This Row],[gt]])^4 -1</f>
        <v>-2.7249005591743036E-2</v>
      </c>
      <c r="J240" s="9">
        <f>$V$18+$V$19*Table_dat150_[[#This Row],[DecDate]]</f>
        <v>994.58730927502802</v>
      </c>
      <c r="K240" s="9">
        <f>$V$37+$V$38*Table_dat150_[[#This Row],[DecDate]]+$V$39*Table_dat150_[[#This Row],[DecDate2]]</f>
        <v>998.02318827679846</v>
      </c>
      <c r="L240" s="9">
        <f>$AF$18+$AF$19*Table_dat150_[[#This Row],[DecDate]]</f>
        <v>6.9039268201123045</v>
      </c>
      <c r="M240" s="9">
        <f>$AF$37+$AF$38*Table_dat150_[[#This Row],[DecDate]]+$AF$39*Table_dat150_[[#This Row],[DecDate2]]</f>
        <v>6.9049338886492855</v>
      </c>
      <c r="N240" s="9">
        <f>Table_dat150_[[#This Row],[LogExpenditure]]-Table_dat150_[[#This Row],[Log Quadratic Trend]]</f>
        <v>1.2771721186019214E-2</v>
      </c>
      <c r="O240" s="9">
        <f t="shared" si="7"/>
        <v>-3.9588242456584767E-3</v>
      </c>
      <c r="P240" s="9">
        <f>Table_dat150_[[#This Row],[Log Quadratic Trend]]+Table_dat150_[[#This Row],[Cycle]]</f>
        <v>6.9009750644036272</v>
      </c>
      <c r="Q240" s="9">
        <f>Table_dat150_[[#This Row],[LogExpenditure]]-Table_dat150_[[#This Row],[Log Quadratic Trend]]-Table_dat150_[[#This Row],[Cycle]]</f>
        <v>1.673054543167769E-2</v>
      </c>
      <c r="R240" s="9">
        <f>AVERAGEIF(Table_dat150_[Quarter], B240, Table_dat150_[High Frequency])</f>
        <v>3.7456808917954526E-2</v>
      </c>
      <c r="S240" s="9">
        <f>Table_dat150_[[#This Row],[S0]]-AVERAGE($R$6:$R$9)</f>
        <v>3.7550349586397608E-2</v>
      </c>
    </row>
    <row r="241" spans="1:19" x14ac:dyDescent="0.3">
      <c r="A241">
        <v>2009</v>
      </c>
      <c r="B241">
        <v>4</v>
      </c>
      <c r="C241" s="1">
        <f>DATE(Table_dat150_[[#This Row],[Year]],(Table_dat150_[[#This Row],[Quarter]]-1)*3+2,15)</f>
        <v>40132</v>
      </c>
      <c r="D241">
        <f>Table_dat150_[[#This Row],[Year]]+1/8+(Table_dat150_[[#This Row],[Quarter]]-1)/4</f>
        <v>2009.875</v>
      </c>
      <c r="E241">
        <f>Table_dat150_[[#This Row],[DecDate]]^2</f>
        <v>4039597.515625</v>
      </c>
      <c r="F241">
        <v>976</v>
      </c>
      <c r="G241" s="8">
        <f>LN(Table_dat150_[[#This Row],[Expenditure]])</f>
        <v>6.8834625864130921</v>
      </c>
      <c r="H241" s="9">
        <f t="shared" si="6"/>
        <v>-3.3663366336633666E-2</v>
      </c>
      <c r="I241" s="9">
        <f>(1+Table_dat150_[[#This Row],[gt]])^4 -1</f>
        <v>-0.1280054400559153</v>
      </c>
      <c r="J241" s="9">
        <f>$V$18+$V$19*Table_dat150_[[#This Row],[DecDate]]</f>
        <v>995.89296481885503</v>
      </c>
      <c r="K241" s="9">
        <f>$V$37+$V$38*Table_dat150_[[#This Row],[DecDate]]+$V$39*Table_dat150_[[#This Row],[DecDate2]]</f>
        <v>999.58610376904835</v>
      </c>
      <c r="L241" s="9">
        <f>$AF$18+$AF$19*Table_dat150_[[#This Row],[DecDate]]</f>
        <v>6.9054328488630796</v>
      </c>
      <c r="M241" s="9">
        <f>$AF$37+$AF$38*Table_dat150_[[#This Row],[DecDate]]+$AF$39*Table_dat150_[[#This Row],[DecDate2]]</f>
        <v>6.9065153212195014</v>
      </c>
      <c r="N241" s="9">
        <f>Table_dat150_[[#This Row],[LogExpenditure]]-Table_dat150_[[#This Row],[Log Quadratic Trend]]</f>
        <v>-2.3052734806409347E-2</v>
      </c>
      <c r="O241" s="9">
        <f t="shared" si="7"/>
        <v>2.517227596659133E-3</v>
      </c>
      <c r="P241" s="9">
        <f>Table_dat150_[[#This Row],[Log Quadratic Trend]]+Table_dat150_[[#This Row],[Cycle]]</f>
        <v>6.9090325488161604</v>
      </c>
      <c r="Q241" s="9">
        <f>Table_dat150_[[#This Row],[LogExpenditure]]-Table_dat150_[[#This Row],[Log Quadratic Trend]]-Table_dat150_[[#This Row],[Cycle]]</f>
        <v>-2.556996240306848E-2</v>
      </c>
      <c r="R241" s="9">
        <f>AVERAGEIF(Table_dat150_[Quarter], B241, Table_dat150_[High Frequency])</f>
        <v>-2.8472086212635514E-2</v>
      </c>
      <c r="S241" s="9">
        <f>Table_dat150_[[#This Row],[S0]]-AVERAGE($R$6:$R$9)</f>
        <v>-2.8378545544192432E-2</v>
      </c>
    </row>
    <row r="242" spans="1:19" x14ac:dyDescent="0.3">
      <c r="A242">
        <v>2010</v>
      </c>
      <c r="B242">
        <v>1</v>
      </c>
      <c r="C242" s="1">
        <f>DATE(Table_dat150_[[#This Row],[Year]],(Table_dat150_[[#This Row],[Quarter]]-1)*3+2,15)</f>
        <v>40224</v>
      </c>
      <c r="D242">
        <f>Table_dat150_[[#This Row],[Year]]+1/8+(Table_dat150_[[#This Row],[Quarter]]-1)/4</f>
        <v>2010.125</v>
      </c>
      <c r="E242">
        <f>Table_dat150_[[#This Row],[DecDate]]^2</f>
        <v>4040602.515625</v>
      </c>
      <c r="F242">
        <v>991</v>
      </c>
      <c r="G242" s="8">
        <f>LN(Table_dat150_[[#This Row],[Expenditure]])</f>
        <v>6.8987145343299883</v>
      </c>
      <c r="H242" s="9">
        <f t="shared" si="6"/>
        <v>1.5368852459016393E-2</v>
      </c>
      <c r="I242" s="9">
        <f>(1+Table_dat150_[[#This Row],[gt]])^4 -1</f>
        <v>6.290719597447203E-2</v>
      </c>
      <c r="J242" s="9">
        <f>$V$18+$V$19*Table_dat150_[[#This Row],[DecDate]]</f>
        <v>997.19862036268023</v>
      </c>
      <c r="K242" s="9">
        <f>$V$37+$V$38*Table_dat150_[[#This Row],[DecDate]]+$V$39*Table_dat150_[[#This Row],[DecDate2]]</f>
        <v>1001.1516714256868</v>
      </c>
      <c r="L242" s="9">
        <f>$AF$18+$AF$19*Table_dat150_[[#This Row],[DecDate]]</f>
        <v>6.9069388776138547</v>
      </c>
      <c r="M242" s="9">
        <f>$AF$37+$AF$38*Table_dat150_[[#This Row],[DecDate]]+$AF$39*Table_dat150_[[#This Row],[DecDate2]]</f>
        <v>6.9080975311486803</v>
      </c>
      <c r="N242" s="9">
        <f>Table_dat150_[[#This Row],[LogExpenditure]]-Table_dat150_[[#This Row],[Log Quadratic Trend]]</f>
        <v>-9.3829968186920354E-3</v>
      </c>
      <c r="O242" s="9">
        <f t="shared" si="7"/>
        <v>3.2810856245774288E-3</v>
      </c>
      <c r="P242" s="9">
        <f>Table_dat150_[[#This Row],[Log Quadratic Trend]]+Table_dat150_[[#This Row],[Cycle]]</f>
        <v>6.9113786167732574</v>
      </c>
      <c r="Q242" s="9">
        <f>Table_dat150_[[#This Row],[LogExpenditure]]-Table_dat150_[[#This Row],[Log Quadratic Trend]]-Table_dat150_[[#This Row],[Cycle]]</f>
        <v>-1.2664082443269465E-2</v>
      </c>
      <c r="R242" s="9">
        <f>AVERAGEIF(Table_dat150_[Quarter], B242, Table_dat150_[High Frequency])</f>
        <v>-4.2281954239907563E-2</v>
      </c>
      <c r="S242" s="9">
        <f>Table_dat150_[[#This Row],[S0]]-AVERAGE($R$6:$R$9)</f>
        <v>-4.2188413571464481E-2</v>
      </c>
    </row>
    <row r="243" spans="1:19" x14ac:dyDescent="0.3">
      <c r="A243">
        <v>2010</v>
      </c>
      <c r="B243">
        <v>2</v>
      </c>
      <c r="C243" s="1">
        <f>DATE(Table_dat150_[[#This Row],[Year]],(Table_dat150_[[#This Row],[Quarter]]-1)*3+2,15)</f>
        <v>40313</v>
      </c>
      <c r="D243">
        <f>Table_dat150_[[#This Row],[Year]]+1/8+(Table_dat150_[[#This Row],[Quarter]]-1)/4</f>
        <v>2010.375</v>
      </c>
      <c r="E243">
        <f>Table_dat150_[[#This Row],[DecDate]]^2</f>
        <v>4041607.640625</v>
      </c>
      <c r="F243">
        <v>1013</v>
      </c>
      <c r="G243" s="8">
        <f>LN(Table_dat150_[[#This Row],[Expenditure]])</f>
        <v>6.9206715042486833</v>
      </c>
      <c r="H243" s="9">
        <f t="shared" si="6"/>
        <v>2.2199798183652877E-2</v>
      </c>
      <c r="I243" s="9">
        <f>(1+Table_dat150_[[#This Row],[gt]])^4 -1</f>
        <v>9.180018485186725E-2</v>
      </c>
      <c r="J243" s="9">
        <f>$V$18+$V$19*Table_dat150_[[#This Row],[DecDate]]</f>
        <v>998.50427590650725</v>
      </c>
      <c r="K243" s="9">
        <f>$V$37+$V$38*Table_dat150_[[#This Row],[DecDate]]+$V$39*Table_dat150_[[#This Row],[DecDate2]]</f>
        <v>1002.7198912467575</v>
      </c>
      <c r="L243" s="9">
        <f>$AF$18+$AF$19*Table_dat150_[[#This Row],[DecDate]]</f>
        <v>6.9084449063646316</v>
      </c>
      <c r="M243" s="9">
        <f>$AF$37+$AF$38*Table_dat150_[[#This Row],[DecDate]]+$AF$39*Table_dat150_[[#This Row],[DecDate2]]</f>
        <v>6.9096805184368293</v>
      </c>
      <c r="N243" s="9">
        <f>Table_dat150_[[#This Row],[LogExpenditure]]-Table_dat150_[[#This Row],[Log Quadratic Trend]]</f>
        <v>1.0990985811853982E-2</v>
      </c>
      <c r="O243" s="9">
        <f t="shared" si="7"/>
        <v>-5.5607629021197976E-3</v>
      </c>
      <c r="P243" s="9">
        <f>Table_dat150_[[#This Row],[Log Quadratic Trend]]+Table_dat150_[[#This Row],[Cycle]]</f>
        <v>6.9041197555347091</v>
      </c>
      <c r="Q243" s="9">
        <f>Table_dat150_[[#This Row],[LogExpenditure]]-Table_dat150_[[#This Row],[Log Quadratic Trend]]-Table_dat150_[[#This Row],[Cycle]]</f>
        <v>1.6551748713973781E-2</v>
      </c>
      <c r="R243" s="9">
        <f>AVERAGEIF(Table_dat150_[Quarter], B243, Table_dat150_[High Frequency])</f>
        <v>3.2923068860816217E-2</v>
      </c>
      <c r="S243" s="9">
        <f>Table_dat150_[[#This Row],[S0]]-AVERAGE($R$6:$R$9)</f>
        <v>3.3016609529259298E-2</v>
      </c>
    </row>
    <row r="244" spans="1:19" x14ac:dyDescent="0.3">
      <c r="A244">
        <v>2010</v>
      </c>
      <c r="B244">
        <v>3</v>
      </c>
      <c r="C244" s="1">
        <f>DATE(Table_dat150_[[#This Row],[Year]],(Table_dat150_[[#This Row],[Quarter]]-1)*3+2,15)</f>
        <v>40405</v>
      </c>
      <c r="D244">
        <f>Table_dat150_[[#This Row],[Year]]+1/8+(Table_dat150_[[#This Row],[Quarter]]-1)/4</f>
        <v>2010.625</v>
      </c>
      <c r="E244">
        <f>Table_dat150_[[#This Row],[DecDate]]^2</f>
        <v>4042612.890625</v>
      </c>
      <c r="F244">
        <v>1029</v>
      </c>
      <c r="G244" s="8">
        <f>LN(Table_dat150_[[#This Row],[Expenditure]])</f>
        <v>6.9363427358340495</v>
      </c>
      <c r="H244" s="9">
        <f t="shared" si="6"/>
        <v>1.5794669299111549E-2</v>
      </c>
      <c r="I244" s="9">
        <f>(1+Table_dat150_[[#This Row],[gt]])^4 -1</f>
        <v>6.4691330186437579E-2</v>
      </c>
      <c r="J244" s="9">
        <f>$V$18+$V$19*Table_dat150_[[#This Row],[DecDate]]</f>
        <v>999.80993145033426</v>
      </c>
      <c r="K244" s="9">
        <f>$V$37+$V$38*Table_dat150_[[#This Row],[DecDate]]+$V$39*Table_dat150_[[#This Row],[DecDate2]]</f>
        <v>1004.2907632322604</v>
      </c>
      <c r="L244" s="9">
        <f>$AF$18+$AF$19*Table_dat150_[[#This Row],[DecDate]]</f>
        <v>6.9099509351154067</v>
      </c>
      <c r="M244" s="9">
        <f>$AF$37+$AF$38*Table_dat150_[[#This Row],[DecDate]]+$AF$39*Table_dat150_[[#This Row],[DecDate2]]</f>
        <v>6.9112642830839341</v>
      </c>
      <c r="N244" s="9">
        <f>Table_dat150_[[#This Row],[LogExpenditure]]-Table_dat150_[[#This Row],[Log Quadratic Trend]]</f>
        <v>2.5078452750115332E-2</v>
      </c>
      <c r="O244" s="9">
        <f t="shared" si="7"/>
        <v>-6.5307163257438457E-3</v>
      </c>
      <c r="P244" s="9">
        <f>Table_dat150_[[#This Row],[Log Quadratic Trend]]+Table_dat150_[[#This Row],[Cycle]]</f>
        <v>6.9047335667581899</v>
      </c>
      <c r="Q244" s="9">
        <f>Table_dat150_[[#This Row],[LogExpenditure]]-Table_dat150_[[#This Row],[Log Quadratic Trend]]-Table_dat150_[[#This Row],[Cycle]]</f>
        <v>3.160916907585918E-2</v>
      </c>
      <c r="R244" s="9">
        <f>AVERAGEIF(Table_dat150_[Quarter], B244, Table_dat150_[High Frequency])</f>
        <v>3.7456808917954526E-2</v>
      </c>
      <c r="S244" s="9">
        <f>Table_dat150_[[#This Row],[S0]]-AVERAGE($R$6:$R$9)</f>
        <v>3.7550349586397608E-2</v>
      </c>
    </row>
    <row r="245" spans="1:19" x14ac:dyDescent="0.3">
      <c r="A245">
        <v>2010</v>
      </c>
      <c r="B245">
        <v>4</v>
      </c>
      <c r="C245" s="1">
        <f>DATE(Table_dat150_[[#This Row],[Year]],(Table_dat150_[[#This Row],[Quarter]]-1)*3+2,15)</f>
        <v>40497</v>
      </c>
      <c r="D245">
        <f>Table_dat150_[[#This Row],[Year]]+1/8+(Table_dat150_[[#This Row],[Quarter]]-1)/4</f>
        <v>2010.875</v>
      </c>
      <c r="E245">
        <f>Table_dat150_[[#This Row],[DecDate]]^2</f>
        <v>4043618.265625</v>
      </c>
      <c r="F245">
        <v>974</v>
      </c>
      <c r="G245" s="8">
        <f>LN(Table_dat150_[[#This Row],[Expenditure]])</f>
        <v>6.8814113036425351</v>
      </c>
      <c r="H245" s="9">
        <f t="shared" si="6"/>
        <v>-5.3449951409135082E-2</v>
      </c>
      <c r="I245" s="9">
        <f>(1+Table_dat150_[[#This Row],[gt]])^4 -1</f>
        <v>-0.19726106402916121</v>
      </c>
      <c r="J245" s="9">
        <f>$V$18+$V$19*Table_dat150_[[#This Row],[DecDate]]</f>
        <v>1001.1155869941595</v>
      </c>
      <c r="K245" s="9">
        <f>$V$37+$V$38*Table_dat150_[[#This Row],[DecDate]]+$V$39*Table_dat150_[[#This Row],[DecDate2]]</f>
        <v>1005.8642873821664</v>
      </c>
      <c r="L245" s="9">
        <f>$AF$18+$AF$19*Table_dat150_[[#This Row],[DecDate]]</f>
        <v>6.9114569638661818</v>
      </c>
      <c r="M245" s="9">
        <f>$AF$37+$AF$38*Table_dat150_[[#This Row],[DecDate]]+$AF$39*Table_dat150_[[#This Row],[DecDate2]]</f>
        <v>6.912848825090002</v>
      </c>
      <c r="N245" s="9">
        <f>Table_dat150_[[#This Row],[LogExpenditure]]-Table_dat150_[[#This Row],[Log Quadratic Trend]]</f>
        <v>-3.1437521447466921E-2</v>
      </c>
      <c r="O245" s="9">
        <f t="shared" si="7"/>
        <v>-3.3293869026353564E-3</v>
      </c>
      <c r="P245" s="9">
        <f>Table_dat150_[[#This Row],[Log Quadratic Trend]]+Table_dat150_[[#This Row],[Cycle]]</f>
        <v>6.9095194381873668</v>
      </c>
      <c r="Q245" s="9">
        <f>Table_dat150_[[#This Row],[LogExpenditure]]-Table_dat150_[[#This Row],[Log Quadratic Trend]]-Table_dat150_[[#This Row],[Cycle]]</f>
        <v>-2.8108134544831565E-2</v>
      </c>
      <c r="R245" s="9">
        <f>AVERAGEIF(Table_dat150_[Quarter], B245, Table_dat150_[High Frequency])</f>
        <v>-2.8472086212635514E-2</v>
      </c>
      <c r="S245" s="9">
        <f>Table_dat150_[[#This Row],[S0]]-AVERAGE($R$6:$R$9)</f>
        <v>-2.8378545544192432E-2</v>
      </c>
    </row>
    <row r="246" spans="1:19" x14ac:dyDescent="0.3">
      <c r="A246">
        <v>2011</v>
      </c>
      <c r="B246">
        <v>1</v>
      </c>
      <c r="C246" s="1">
        <f>DATE(Table_dat150_[[#This Row],[Year]],(Table_dat150_[[#This Row],[Quarter]]-1)*3+2,15)</f>
        <v>40589</v>
      </c>
      <c r="D246">
        <f>Table_dat150_[[#This Row],[Year]]+1/8+(Table_dat150_[[#This Row],[Quarter]]-1)/4</f>
        <v>2011.125</v>
      </c>
      <c r="E246">
        <f>Table_dat150_[[#This Row],[DecDate]]^2</f>
        <v>4044623.765625</v>
      </c>
      <c r="F246">
        <v>979</v>
      </c>
      <c r="G246" s="8">
        <f>LN(Table_dat150_[[#This Row],[Expenditure]])</f>
        <v>6.8865316425305103</v>
      </c>
      <c r="H246" s="9">
        <f t="shared" si="6"/>
        <v>5.1334702258726897E-3</v>
      </c>
      <c r="I246" s="9">
        <f>(1+Table_dat150_[[#This Row],[gt]])^4 -1</f>
        <v>2.0692537816742407E-2</v>
      </c>
      <c r="J246" s="9">
        <f>$V$18+$V$19*Table_dat150_[[#This Row],[DecDate]]</f>
        <v>1002.4212425379865</v>
      </c>
      <c r="K246" s="9">
        <f>$V$37+$V$38*Table_dat150_[[#This Row],[DecDate]]+$V$39*Table_dat150_[[#This Row],[DecDate2]]</f>
        <v>1007.44046369649</v>
      </c>
      <c r="L246" s="9">
        <f>$AF$18+$AF$19*Table_dat150_[[#This Row],[DecDate]]</f>
        <v>6.9129629926169569</v>
      </c>
      <c r="M246" s="9">
        <f>$AF$37+$AF$38*Table_dat150_[[#This Row],[DecDate]]+$AF$39*Table_dat150_[[#This Row],[DecDate2]]</f>
        <v>6.9144341444550399</v>
      </c>
      <c r="N246" s="9">
        <f>Table_dat150_[[#This Row],[LogExpenditure]]-Table_dat150_[[#This Row],[Log Quadratic Trend]]</f>
        <v>-2.7902501924529588E-2</v>
      </c>
      <c r="O246" s="9">
        <f t="shared" si="7"/>
        <v>-3.3414434844718953E-3</v>
      </c>
      <c r="P246" s="9">
        <f>Table_dat150_[[#This Row],[Log Quadratic Trend]]+Table_dat150_[[#This Row],[Cycle]]</f>
        <v>6.9110927009705678</v>
      </c>
      <c r="Q246" s="9">
        <f>Table_dat150_[[#This Row],[LogExpenditure]]-Table_dat150_[[#This Row],[Log Quadratic Trend]]-Table_dat150_[[#This Row],[Cycle]]</f>
        <v>-2.4561058440057692E-2</v>
      </c>
      <c r="R246" s="9">
        <f>AVERAGEIF(Table_dat150_[Quarter], B246, Table_dat150_[High Frequency])</f>
        <v>-4.2281954239907563E-2</v>
      </c>
      <c r="S246" s="9">
        <f>Table_dat150_[[#This Row],[S0]]-AVERAGE($R$6:$R$9)</f>
        <v>-4.2188413571464481E-2</v>
      </c>
    </row>
    <row r="247" spans="1:19" x14ac:dyDescent="0.3">
      <c r="A247">
        <v>2011</v>
      </c>
      <c r="B247">
        <v>2</v>
      </c>
      <c r="C247" s="1">
        <f>DATE(Table_dat150_[[#This Row],[Year]],(Table_dat150_[[#This Row],[Quarter]]-1)*3+2,15)</f>
        <v>40678</v>
      </c>
      <c r="D247">
        <f>Table_dat150_[[#This Row],[Year]]+1/8+(Table_dat150_[[#This Row],[Quarter]]-1)/4</f>
        <v>2011.375</v>
      </c>
      <c r="E247">
        <f>Table_dat150_[[#This Row],[DecDate]]^2</f>
        <v>4045629.390625</v>
      </c>
      <c r="F247">
        <v>1015</v>
      </c>
      <c r="G247" s="8">
        <f>LN(Table_dat150_[[#This Row],[Expenditure]])</f>
        <v>6.9226438914758877</v>
      </c>
      <c r="H247" s="9">
        <f t="shared" si="6"/>
        <v>3.6772216547497447E-2</v>
      </c>
      <c r="I247" s="9">
        <f>(1+Table_dat150_[[#This Row],[gt]])^4 -1</f>
        <v>0.15540276304590628</v>
      </c>
      <c r="J247" s="9">
        <f>$V$18+$V$19*Table_dat150_[[#This Row],[DecDate]]</f>
        <v>1003.7268980818135</v>
      </c>
      <c r="K247" s="9">
        <f>$V$37+$V$38*Table_dat150_[[#This Row],[DecDate]]+$V$39*Table_dat150_[[#This Row],[DecDate2]]</f>
        <v>1009.0192921752459</v>
      </c>
      <c r="L247" s="9">
        <f>$AF$18+$AF$19*Table_dat150_[[#This Row],[DecDate]]</f>
        <v>6.914469021367732</v>
      </c>
      <c r="M247" s="9">
        <f>$AF$37+$AF$38*Table_dat150_[[#This Row],[DecDate]]+$AF$39*Table_dat150_[[#This Row],[DecDate2]]</f>
        <v>6.9160202411790372</v>
      </c>
      <c r="N247" s="9">
        <f>Table_dat150_[[#This Row],[LogExpenditure]]-Table_dat150_[[#This Row],[Log Quadratic Trend]]</f>
        <v>6.6236502968504141E-3</v>
      </c>
      <c r="O247" s="9">
        <f t="shared" si="7"/>
        <v>-1.0045929782892671E-2</v>
      </c>
      <c r="P247" s="9">
        <f>Table_dat150_[[#This Row],[Log Quadratic Trend]]+Table_dat150_[[#This Row],[Cycle]]</f>
        <v>6.9059743113961449</v>
      </c>
      <c r="Q247" s="9">
        <f>Table_dat150_[[#This Row],[LogExpenditure]]-Table_dat150_[[#This Row],[Log Quadratic Trend]]-Table_dat150_[[#This Row],[Cycle]]</f>
        <v>1.6669580079743083E-2</v>
      </c>
      <c r="R247" s="9">
        <f>AVERAGEIF(Table_dat150_[Quarter], B247, Table_dat150_[High Frequency])</f>
        <v>3.2923068860816217E-2</v>
      </c>
      <c r="S247" s="9">
        <f>Table_dat150_[[#This Row],[S0]]-AVERAGE($R$6:$R$9)</f>
        <v>3.3016609529259298E-2</v>
      </c>
    </row>
    <row r="248" spans="1:19" x14ac:dyDescent="0.3">
      <c r="A248">
        <v>2011</v>
      </c>
      <c r="B248">
        <v>3</v>
      </c>
      <c r="C248" s="1">
        <f>DATE(Table_dat150_[[#This Row],[Year]],(Table_dat150_[[#This Row],[Quarter]]-1)*3+2,15)</f>
        <v>40770</v>
      </c>
      <c r="D248">
        <f>Table_dat150_[[#This Row],[Year]]+1/8+(Table_dat150_[[#This Row],[Quarter]]-1)/4</f>
        <v>2011.625</v>
      </c>
      <c r="E248">
        <f>Table_dat150_[[#This Row],[DecDate]]^2</f>
        <v>4046635.140625</v>
      </c>
      <c r="F248">
        <v>1021</v>
      </c>
      <c r="G248" s="8">
        <f>LN(Table_dat150_[[#This Row],[Expenditure]])</f>
        <v>6.9285378181646653</v>
      </c>
      <c r="H248" s="9">
        <f t="shared" si="6"/>
        <v>5.9113300492610842E-3</v>
      </c>
      <c r="I248" s="9">
        <f>(1+Table_dat150_[[#This Row],[gt]])^4 -1</f>
        <v>2.3855810613705009E-2</v>
      </c>
      <c r="J248" s="9">
        <f>$V$18+$V$19*Table_dat150_[[#This Row],[DecDate]]</f>
        <v>1005.0325536256405</v>
      </c>
      <c r="K248" s="9">
        <f>$V$37+$V$38*Table_dat150_[[#This Row],[DecDate]]+$V$39*Table_dat150_[[#This Row],[DecDate2]]</f>
        <v>1010.6007728184049</v>
      </c>
      <c r="L248" s="9">
        <f>$AF$18+$AF$19*Table_dat150_[[#This Row],[DecDate]]</f>
        <v>6.9159750501185071</v>
      </c>
      <c r="M248" s="9">
        <f>$AF$37+$AF$38*Table_dat150_[[#This Row],[DecDate]]+$AF$39*Table_dat150_[[#This Row],[DecDate2]]</f>
        <v>6.917607115261994</v>
      </c>
      <c r="N248" s="9">
        <f>Table_dat150_[[#This Row],[LogExpenditure]]-Table_dat150_[[#This Row],[Log Quadratic Trend]]</f>
        <v>1.0930702902671285E-2</v>
      </c>
      <c r="O248" s="9">
        <f t="shared" si="7"/>
        <v>-6.5641088646499314E-3</v>
      </c>
      <c r="P248" s="9">
        <f>Table_dat150_[[#This Row],[Log Quadratic Trend]]+Table_dat150_[[#This Row],[Cycle]]</f>
        <v>6.9110430063973443</v>
      </c>
      <c r="Q248" s="9">
        <f>Table_dat150_[[#This Row],[LogExpenditure]]-Table_dat150_[[#This Row],[Log Quadratic Trend]]-Table_dat150_[[#This Row],[Cycle]]</f>
        <v>1.7494811767321216E-2</v>
      </c>
      <c r="R248" s="9">
        <f>AVERAGEIF(Table_dat150_[Quarter], B248, Table_dat150_[High Frequency])</f>
        <v>3.7456808917954526E-2</v>
      </c>
      <c r="S248" s="9">
        <f>Table_dat150_[[#This Row],[S0]]-AVERAGE($R$6:$R$9)</f>
        <v>3.7550349586397608E-2</v>
      </c>
    </row>
    <row r="249" spans="1:19" x14ac:dyDescent="0.3">
      <c r="A249">
        <v>2011</v>
      </c>
      <c r="B249">
        <v>4</v>
      </c>
      <c r="C249" s="1">
        <f>DATE(Table_dat150_[[#This Row],[Year]],(Table_dat150_[[#This Row],[Quarter]]-1)*3+2,15)</f>
        <v>40862</v>
      </c>
      <c r="D249">
        <f>Table_dat150_[[#This Row],[Year]]+1/8+(Table_dat150_[[#This Row],[Quarter]]-1)/4</f>
        <v>2011.875</v>
      </c>
      <c r="E249">
        <f>Table_dat150_[[#This Row],[DecDate]]^2</f>
        <v>4047641.015625</v>
      </c>
      <c r="F249">
        <v>1003</v>
      </c>
      <c r="G249" s="8">
        <f>LN(Table_dat150_[[#This Row],[Expenditure]])</f>
        <v>6.9107507879619359</v>
      </c>
      <c r="H249" s="9">
        <f t="shared" si="6"/>
        <v>-1.762977473065622E-2</v>
      </c>
      <c r="I249" s="9">
        <f>(1+Table_dat150_[[#This Row],[gt]])^4 -1</f>
        <v>-6.8676066545683367E-2</v>
      </c>
      <c r="J249" s="9">
        <f>$V$18+$V$19*Table_dat150_[[#This Row],[DecDate]]</f>
        <v>1006.3382091694657</v>
      </c>
      <c r="K249" s="9">
        <f>$V$37+$V$38*Table_dat150_[[#This Row],[DecDate]]+$V$39*Table_dat150_[[#This Row],[DecDate2]]</f>
        <v>1012.1849056259525</v>
      </c>
      <c r="L249" s="9">
        <f>$AF$18+$AF$19*Table_dat150_[[#This Row],[DecDate]]</f>
        <v>6.917481078869284</v>
      </c>
      <c r="M249" s="9">
        <f>$AF$37+$AF$38*Table_dat150_[[#This Row],[DecDate]]+$AF$39*Table_dat150_[[#This Row],[DecDate2]]</f>
        <v>6.9191947667039244</v>
      </c>
      <c r="N249" s="9">
        <f>Table_dat150_[[#This Row],[LogExpenditure]]-Table_dat150_[[#This Row],[Log Quadratic Trend]]</f>
        <v>-8.4439787419885448E-3</v>
      </c>
      <c r="O249" s="9">
        <f t="shared" si="7"/>
        <v>2.4947482025776678E-4</v>
      </c>
      <c r="P249" s="9">
        <f>Table_dat150_[[#This Row],[Log Quadratic Trend]]+Table_dat150_[[#This Row],[Cycle]]</f>
        <v>6.9194442415241824</v>
      </c>
      <c r="Q249" s="9">
        <f>Table_dat150_[[#This Row],[LogExpenditure]]-Table_dat150_[[#This Row],[Log Quadratic Trend]]-Table_dat150_[[#This Row],[Cycle]]</f>
        <v>-8.6934535622463123E-3</v>
      </c>
      <c r="R249" s="9">
        <f>AVERAGEIF(Table_dat150_[Quarter], B249, Table_dat150_[High Frequency])</f>
        <v>-2.8472086212635514E-2</v>
      </c>
      <c r="S249" s="9">
        <f>Table_dat150_[[#This Row],[S0]]-AVERAGE($R$6:$R$9)</f>
        <v>-2.8378545544192432E-2</v>
      </c>
    </row>
    <row r="250" spans="1:19" x14ac:dyDescent="0.3">
      <c r="A250">
        <v>2012</v>
      </c>
      <c r="B250">
        <v>1</v>
      </c>
      <c r="C250" s="1">
        <f>DATE(Table_dat150_[[#This Row],[Year]],(Table_dat150_[[#This Row],[Quarter]]-1)*3+2,15)</f>
        <v>40954</v>
      </c>
      <c r="D250">
        <f>Table_dat150_[[#This Row],[Year]]+1/8+(Table_dat150_[[#This Row],[Quarter]]-1)/4</f>
        <v>2012.125</v>
      </c>
      <c r="E250">
        <f>Table_dat150_[[#This Row],[DecDate]]^2</f>
        <v>4048647.015625</v>
      </c>
      <c r="F250">
        <v>999</v>
      </c>
      <c r="G250" s="8">
        <f>LN(Table_dat150_[[#This Row],[Expenditure]])</f>
        <v>6.9067547786485539</v>
      </c>
      <c r="H250" s="9">
        <f t="shared" si="6"/>
        <v>-3.9880358923230306E-3</v>
      </c>
      <c r="I250" s="9">
        <f>(1+Table_dat150_[[#This Row],[gt]])^4 -1</f>
        <v>-1.5856970444425578E-2</v>
      </c>
      <c r="J250" s="9">
        <f>$V$18+$V$19*Table_dat150_[[#This Row],[DecDate]]</f>
        <v>1007.6438647132927</v>
      </c>
      <c r="K250" s="9">
        <f>$V$37+$V$38*Table_dat150_[[#This Row],[DecDate]]+$V$39*Table_dat150_[[#This Row],[DecDate2]]</f>
        <v>1013.7716905979469</v>
      </c>
      <c r="L250" s="9">
        <f>$AF$18+$AF$19*Table_dat150_[[#This Row],[DecDate]]</f>
        <v>6.9189871076200591</v>
      </c>
      <c r="M250" s="9">
        <f>$AF$37+$AF$38*Table_dat150_[[#This Row],[DecDate]]+$AF$39*Table_dat150_[[#This Row],[DecDate2]]</f>
        <v>6.9207831955048071</v>
      </c>
      <c r="N250" s="9">
        <f>Table_dat150_[[#This Row],[LogExpenditure]]-Table_dat150_[[#This Row],[Log Quadratic Trend]]</f>
        <v>-1.4028416856253223E-2</v>
      </c>
      <c r="O250" s="9">
        <f t="shared" si="7"/>
        <v>-1.9309623063238136E-3</v>
      </c>
      <c r="P250" s="9">
        <f>Table_dat150_[[#This Row],[Log Quadratic Trend]]+Table_dat150_[[#This Row],[Cycle]]</f>
        <v>6.918852233198483</v>
      </c>
      <c r="Q250" s="9">
        <f>Table_dat150_[[#This Row],[LogExpenditure]]-Table_dat150_[[#This Row],[Log Quadratic Trend]]-Table_dat150_[[#This Row],[Cycle]]</f>
        <v>-1.209745454992941E-2</v>
      </c>
      <c r="R250" s="9">
        <f>AVERAGEIF(Table_dat150_[Quarter], B250, Table_dat150_[High Frequency])</f>
        <v>-4.2281954239907563E-2</v>
      </c>
      <c r="S250" s="9">
        <f>Table_dat150_[[#This Row],[S0]]-AVERAGE($R$6:$R$9)</f>
        <v>-4.2188413571464481E-2</v>
      </c>
    </row>
    <row r="251" spans="1:19" x14ac:dyDescent="0.3">
      <c r="A251">
        <v>2012</v>
      </c>
      <c r="B251">
        <v>2</v>
      </c>
      <c r="C251" s="1">
        <f>DATE(Table_dat150_[[#This Row],[Year]],(Table_dat150_[[#This Row],[Quarter]]-1)*3+2,15)</f>
        <v>41044</v>
      </c>
      <c r="D251">
        <f>Table_dat150_[[#This Row],[Year]]+1/8+(Table_dat150_[[#This Row],[Quarter]]-1)/4</f>
        <v>2012.375</v>
      </c>
      <c r="E251">
        <f>Table_dat150_[[#This Row],[DecDate]]^2</f>
        <v>4049653.140625</v>
      </c>
      <c r="F251">
        <v>1021</v>
      </c>
      <c r="G251" s="8">
        <f>LN(Table_dat150_[[#This Row],[Expenditure]])</f>
        <v>6.9285378181646653</v>
      </c>
      <c r="H251" s="9">
        <f t="shared" si="6"/>
        <v>2.2022022022022022E-2</v>
      </c>
      <c r="I251" s="9">
        <f>(1+Table_dat150_[[#This Row],[gt]])^4 -1</f>
        <v>9.1040860039068194E-2</v>
      </c>
      <c r="J251" s="9">
        <f>$V$18+$V$19*Table_dat150_[[#This Row],[DecDate]]</f>
        <v>1008.9495202571197</v>
      </c>
      <c r="K251" s="9">
        <f>$V$37+$V$38*Table_dat150_[[#This Row],[DecDate]]+$V$39*Table_dat150_[[#This Row],[DecDate2]]</f>
        <v>1015.3611277343589</v>
      </c>
      <c r="L251" s="9">
        <f>$AF$18+$AF$19*Table_dat150_[[#This Row],[DecDate]]</f>
        <v>6.9204931363708342</v>
      </c>
      <c r="M251" s="9">
        <f>$AF$37+$AF$38*Table_dat150_[[#This Row],[DecDate]]+$AF$39*Table_dat150_[[#This Row],[DecDate2]]</f>
        <v>6.9223724016646564</v>
      </c>
      <c r="N251" s="9">
        <f>Table_dat150_[[#This Row],[LogExpenditure]]-Table_dat150_[[#This Row],[Log Quadratic Trend]]</f>
        <v>6.1654165000089023E-3</v>
      </c>
      <c r="O251" s="9">
        <f t="shared" si="7"/>
        <v>-1.3150915661907269E-2</v>
      </c>
      <c r="P251" s="9">
        <f>Table_dat150_[[#This Row],[Log Quadratic Trend]]+Table_dat150_[[#This Row],[Cycle]]</f>
        <v>6.9092214860027488</v>
      </c>
      <c r="Q251" s="9">
        <f>Table_dat150_[[#This Row],[LogExpenditure]]-Table_dat150_[[#This Row],[Log Quadratic Trend]]-Table_dat150_[[#This Row],[Cycle]]</f>
        <v>1.9316332161916173E-2</v>
      </c>
      <c r="R251" s="9">
        <f>AVERAGEIF(Table_dat150_[Quarter], B251, Table_dat150_[High Frequency])</f>
        <v>3.2923068860816217E-2</v>
      </c>
      <c r="S251" s="9">
        <f>Table_dat150_[[#This Row],[S0]]-AVERAGE($R$6:$R$9)</f>
        <v>3.3016609529259298E-2</v>
      </c>
    </row>
    <row r="252" spans="1:19" x14ac:dyDescent="0.3">
      <c r="A252">
        <v>2012</v>
      </c>
      <c r="B252">
        <v>3</v>
      </c>
      <c r="C252" s="1">
        <f>DATE(Table_dat150_[[#This Row],[Year]],(Table_dat150_[[#This Row],[Quarter]]-1)*3+2,15)</f>
        <v>41136</v>
      </c>
      <c r="D252">
        <f>Table_dat150_[[#This Row],[Year]]+1/8+(Table_dat150_[[#This Row],[Quarter]]-1)/4</f>
        <v>2012.625</v>
      </c>
      <c r="E252">
        <f>Table_dat150_[[#This Row],[DecDate]]^2</f>
        <v>4050659.390625</v>
      </c>
      <c r="F252">
        <v>1012</v>
      </c>
      <c r="G252" s="8">
        <f>LN(Table_dat150_[[#This Row],[Expenditure]])</f>
        <v>6.9196838498474111</v>
      </c>
      <c r="H252" s="9">
        <f t="shared" si="6"/>
        <v>-8.8148873653281102E-3</v>
      </c>
      <c r="I252" s="9">
        <f>(1+Table_dat150_[[#This Row],[gt]])^4 -1</f>
        <v>-3.4796069734042478E-2</v>
      </c>
      <c r="J252" s="9">
        <f>$V$18+$V$19*Table_dat150_[[#This Row],[DecDate]]</f>
        <v>1010.2551758009449</v>
      </c>
      <c r="K252" s="9">
        <f>$V$37+$V$38*Table_dat150_[[#This Row],[DecDate]]+$V$39*Table_dat150_[[#This Row],[DecDate2]]</f>
        <v>1016.9532170351886</v>
      </c>
      <c r="L252" s="9">
        <f>$AF$18+$AF$19*Table_dat150_[[#This Row],[DecDate]]</f>
        <v>6.9219991651216093</v>
      </c>
      <c r="M252" s="9">
        <f>$AF$37+$AF$38*Table_dat150_[[#This Row],[DecDate]]+$AF$39*Table_dat150_[[#This Row],[DecDate2]]</f>
        <v>6.9239623851834686</v>
      </c>
      <c r="N252" s="9">
        <f>Table_dat150_[[#This Row],[LogExpenditure]]-Table_dat150_[[#This Row],[Log Quadratic Trend]]</f>
        <v>-4.2785353360574874E-3</v>
      </c>
      <c r="O252" s="9">
        <f t="shared" si="7"/>
        <v>-2.2051357682448546E-2</v>
      </c>
      <c r="P252" s="9">
        <f>Table_dat150_[[#This Row],[Log Quadratic Trend]]+Table_dat150_[[#This Row],[Cycle]]</f>
        <v>6.9019110275010203</v>
      </c>
      <c r="Q252" s="9">
        <f>Table_dat150_[[#This Row],[LogExpenditure]]-Table_dat150_[[#This Row],[Log Quadratic Trend]]-Table_dat150_[[#This Row],[Cycle]]</f>
        <v>1.7772822346391059E-2</v>
      </c>
      <c r="R252" s="9">
        <f>AVERAGEIF(Table_dat150_[Quarter], B252, Table_dat150_[High Frequency])</f>
        <v>3.7456808917954526E-2</v>
      </c>
      <c r="S252" s="9">
        <f>Table_dat150_[[#This Row],[S0]]-AVERAGE($R$6:$R$9)</f>
        <v>3.7550349586397608E-2</v>
      </c>
    </row>
    <row r="253" spans="1:19" x14ac:dyDescent="0.3">
      <c r="A253">
        <v>2012</v>
      </c>
      <c r="B253">
        <v>4</v>
      </c>
      <c r="C253" s="1">
        <f>DATE(Table_dat150_[[#This Row],[Year]],(Table_dat150_[[#This Row],[Quarter]]-1)*3+2,15)</f>
        <v>41228</v>
      </c>
      <c r="D253">
        <f>Table_dat150_[[#This Row],[Year]]+1/8+(Table_dat150_[[#This Row],[Quarter]]-1)/4</f>
        <v>2012.875</v>
      </c>
      <c r="E253">
        <f>Table_dat150_[[#This Row],[DecDate]]^2</f>
        <v>4051665.765625</v>
      </c>
      <c r="F253">
        <v>973</v>
      </c>
      <c r="G253" s="8">
        <f>LN(Table_dat150_[[#This Row],[Expenditure]])</f>
        <v>6.8803840821860049</v>
      </c>
      <c r="H253" s="9">
        <f t="shared" si="6"/>
        <v>-3.8537549407114624E-2</v>
      </c>
      <c r="I253" s="9">
        <f>(1+Table_dat150_[[#This Row],[gt]])^4 -1</f>
        <v>-0.14546607073665863</v>
      </c>
      <c r="J253" s="9">
        <f>$V$18+$V$19*Table_dat150_[[#This Row],[DecDate]]</f>
        <v>1011.5608313447719</v>
      </c>
      <c r="K253" s="9">
        <f>$V$37+$V$38*Table_dat150_[[#This Row],[DecDate]]+$V$39*Table_dat150_[[#This Row],[DecDate2]]</f>
        <v>1018.5479585004359</v>
      </c>
      <c r="L253" s="9">
        <f>$AF$18+$AF$19*Table_dat150_[[#This Row],[DecDate]]</f>
        <v>6.9235051938723844</v>
      </c>
      <c r="M253" s="9">
        <f>$AF$37+$AF$38*Table_dat150_[[#This Row],[DecDate]]+$AF$39*Table_dat150_[[#This Row],[DecDate2]]</f>
        <v>6.9255531460612509</v>
      </c>
      <c r="N253" s="9">
        <f>Table_dat150_[[#This Row],[LogExpenditure]]-Table_dat150_[[#This Row],[Log Quadratic Trend]]</f>
        <v>-4.5169063875245996E-2</v>
      </c>
      <c r="O253" s="9">
        <f t="shared" si="7"/>
        <v>-1.8698713170045345E-2</v>
      </c>
      <c r="P253" s="9">
        <f>Table_dat150_[[#This Row],[Log Quadratic Trend]]+Table_dat150_[[#This Row],[Cycle]]</f>
        <v>6.9068544328912056</v>
      </c>
      <c r="Q253" s="9">
        <f>Table_dat150_[[#This Row],[LogExpenditure]]-Table_dat150_[[#This Row],[Log Quadratic Trend]]-Table_dat150_[[#This Row],[Cycle]]</f>
        <v>-2.6470350705200651E-2</v>
      </c>
      <c r="R253" s="9">
        <f>AVERAGEIF(Table_dat150_[Quarter], B253, Table_dat150_[High Frequency])</f>
        <v>-2.8472086212635514E-2</v>
      </c>
      <c r="S253" s="9">
        <f>Table_dat150_[[#This Row],[S0]]-AVERAGE($R$6:$R$9)</f>
        <v>-2.8378545544192432E-2</v>
      </c>
    </row>
    <row r="254" spans="1:19" x14ac:dyDescent="0.3">
      <c r="A254">
        <v>2013</v>
      </c>
      <c r="B254">
        <v>1</v>
      </c>
      <c r="C254" s="1">
        <f>DATE(Table_dat150_[[#This Row],[Year]],(Table_dat150_[[#This Row],[Quarter]]-1)*3+2,15)</f>
        <v>41320</v>
      </c>
      <c r="D254">
        <f>Table_dat150_[[#This Row],[Year]]+1/8+(Table_dat150_[[#This Row],[Quarter]]-1)/4</f>
        <v>2013.125</v>
      </c>
      <c r="E254">
        <f>Table_dat150_[[#This Row],[DecDate]]^2</f>
        <v>4052672.265625</v>
      </c>
      <c r="F254">
        <v>967</v>
      </c>
      <c r="G254" s="8">
        <f>LN(Table_dat150_[[#This Row],[Expenditure]])</f>
        <v>6.8741984954532942</v>
      </c>
      <c r="H254" s="9">
        <f t="shared" si="6"/>
        <v>-6.1664953751284684E-3</v>
      </c>
      <c r="I254" s="9">
        <f>(1+Table_dat150_[[#This Row],[gt]])^4 -1</f>
        <v>-2.4438764003648417E-2</v>
      </c>
      <c r="J254" s="9">
        <f>$V$18+$V$19*Table_dat150_[[#This Row],[DecDate]]</f>
        <v>1012.866486888599</v>
      </c>
      <c r="K254" s="9">
        <f>$V$37+$V$38*Table_dat150_[[#This Row],[DecDate]]+$V$39*Table_dat150_[[#This Row],[DecDate2]]</f>
        <v>1020.1453521301009</v>
      </c>
      <c r="L254" s="9">
        <f>$AF$18+$AF$19*Table_dat150_[[#This Row],[DecDate]]</f>
        <v>6.9250112226231595</v>
      </c>
      <c r="M254" s="9">
        <f>$AF$37+$AF$38*Table_dat150_[[#This Row],[DecDate]]+$AF$39*Table_dat150_[[#This Row],[DecDate2]]</f>
        <v>6.9271446842979891</v>
      </c>
      <c r="N254" s="9">
        <f>Table_dat150_[[#This Row],[LogExpenditure]]-Table_dat150_[[#This Row],[Log Quadratic Trend]]</f>
        <v>-5.294618884469493E-2</v>
      </c>
      <c r="O254" s="9">
        <f t="shared" si="7"/>
        <v>-1.2227739371329881E-2</v>
      </c>
      <c r="P254" s="9">
        <f>Table_dat150_[[#This Row],[Log Quadratic Trend]]+Table_dat150_[[#This Row],[Cycle]]</f>
        <v>6.9149169449266594</v>
      </c>
      <c r="Q254" s="9">
        <f>Table_dat150_[[#This Row],[LogExpenditure]]-Table_dat150_[[#This Row],[Log Quadratic Trend]]-Table_dat150_[[#This Row],[Cycle]]</f>
        <v>-4.0718449473365045E-2</v>
      </c>
      <c r="R254" s="9">
        <f>AVERAGEIF(Table_dat150_[Quarter], B254, Table_dat150_[High Frequency])</f>
        <v>-4.2281954239907563E-2</v>
      </c>
      <c r="S254" s="9">
        <f>Table_dat150_[[#This Row],[S0]]-AVERAGE($R$6:$R$9)</f>
        <v>-4.2188413571464481E-2</v>
      </c>
    </row>
    <row r="255" spans="1:19" x14ac:dyDescent="0.3">
      <c r="A255">
        <v>2013</v>
      </c>
      <c r="B255">
        <v>2</v>
      </c>
      <c r="C255" s="1">
        <f>DATE(Table_dat150_[[#This Row],[Year]],(Table_dat150_[[#This Row],[Quarter]]-1)*3+2,15)</f>
        <v>41409</v>
      </c>
      <c r="D255">
        <f>Table_dat150_[[#This Row],[Year]]+1/8+(Table_dat150_[[#This Row],[Quarter]]-1)/4</f>
        <v>2013.375</v>
      </c>
      <c r="E255">
        <f>Table_dat150_[[#This Row],[DecDate]]^2</f>
        <v>4053678.890625</v>
      </c>
      <c r="F255">
        <v>1024</v>
      </c>
      <c r="G255" s="8">
        <f>LN(Table_dat150_[[#This Row],[Expenditure]])</f>
        <v>6.9314718055994531</v>
      </c>
      <c r="H255" s="9">
        <f t="shared" si="6"/>
        <v>5.894519131334023E-2</v>
      </c>
      <c r="I255" s="9">
        <f>(1+Table_dat150_[[#This Row],[gt]])^4 -1</f>
        <v>0.25745927978235716</v>
      </c>
      <c r="J255" s="9">
        <f>$V$18+$V$19*Table_dat150_[[#This Row],[DecDate]]</f>
        <v>1014.1721424324242</v>
      </c>
      <c r="K255" s="9">
        <f>$V$37+$V$38*Table_dat150_[[#This Row],[DecDate]]+$V$39*Table_dat150_[[#This Row],[DecDate2]]</f>
        <v>1021.74539792414</v>
      </c>
      <c r="L255" s="9">
        <f>$AF$18+$AF$19*Table_dat150_[[#This Row],[DecDate]]</f>
        <v>6.9265172513739364</v>
      </c>
      <c r="M255" s="9">
        <f>$AF$37+$AF$38*Table_dat150_[[#This Row],[DecDate]]+$AF$39*Table_dat150_[[#This Row],[DecDate2]]</f>
        <v>6.9287369998936903</v>
      </c>
      <c r="N255" s="9">
        <f>Table_dat150_[[#This Row],[LogExpenditure]]-Table_dat150_[[#This Row],[Log Quadratic Trend]]</f>
        <v>2.7348057057627884E-3</v>
      </c>
      <c r="O255" s="9">
        <f t="shared" si="7"/>
        <v>-1.6205769140088755E-2</v>
      </c>
      <c r="P255" s="9">
        <f>Table_dat150_[[#This Row],[Log Quadratic Trend]]+Table_dat150_[[#This Row],[Cycle]]</f>
        <v>6.9125312307536015</v>
      </c>
      <c r="Q255" s="9">
        <f>Table_dat150_[[#This Row],[LogExpenditure]]-Table_dat150_[[#This Row],[Log Quadratic Trend]]-Table_dat150_[[#This Row],[Cycle]]</f>
        <v>1.8940574845851543E-2</v>
      </c>
      <c r="R255" s="9">
        <f>AVERAGEIF(Table_dat150_[Quarter], B255, Table_dat150_[High Frequency])</f>
        <v>3.2923068860816217E-2</v>
      </c>
      <c r="S255" s="9">
        <f>Table_dat150_[[#This Row],[S0]]-AVERAGE($R$6:$R$9)</f>
        <v>3.3016609529259298E-2</v>
      </c>
    </row>
    <row r="256" spans="1:19" x14ac:dyDescent="0.3">
      <c r="A256">
        <v>2013</v>
      </c>
      <c r="B256">
        <v>3</v>
      </c>
      <c r="C256" s="1">
        <f>DATE(Table_dat150_[[#This Row],[Year]],(Table_dat150_[[#This Row],[Quarter]]-1)*3+2,15)</f>
        <v>41501</v>
      </c>
      <c r="D256">
        <f>Table_dat150_[[#This Row],[Year]]+1/8+(Table_dat150_[[#This Row],[Quarter]]-1)/4</f>
        <v>2013.625</v>
      </c>
      <c r="E256">
        <f>Table_dat150_[[#This Row],[DecDate]]^2</f>
        <v>4054685.640625</v>
      </c>
      <c r="F256">
        <v>1063</v>
      </c>
      <c r="G256" s="8">
        <f>LN(Table_dat150_[[#This Row],[Expenditure]])</f>
        <v>6.9688503783419478</v>
      </c>
      <c r="H256" s="9">
        <f t="shared" si="6"/>
        <v>3.80859375E-2</v>
      </c>
      <c r="I256" s="9">
        <f>(1+Table_dat150_[[#This Row],[gt]])^4 -1</f>
        <v>0.16127006636907026</v>
      </c>
      <c r="J256" s="9">
        <f>$V$18+$V$19*Table_dat150_[[#This Row],[DecDate]]</f>
        <v>1015.4777979762512</v>
      </c>
      <c r="K256" s="9">
        <f>$V$37+$V$38*Table_dat150_[[#This Row],[DecDate]]+$V$39*Table_dat150_[[#This Row],[DecDate2]]</f>
        <v>1023.3480958826403</v>
      </c>
      <c r="L256" s="9">
        <f>$AF$18+$AF$19*Table_dat150_[[#This Row],[DecDate]]</f>
        <v>6.9280232801247115</v>
      </c>
      <c r="M256" s="9">
        <f>$AF$37+$AF$38*Table_dat150_[[#This Row],[DecDate]]+$AF$39*Table_dat150_[[#This Row],[DecDate2]]</f>
        <v>6.9303300928483615</v>
      </c>
      <c r="N256" s="9">
        <f>Table_dat150_[[#This Row],[LogExpenditure]]-Table_dat150_[[#This Row],[Log Quadratic Trend]]</f>
        <v>3.8520285493586215E-2</v>
      </c>
      <c r="O256" s="9">
        <f t="shared" si="7"/>
        <v>-1.5753854502522736E-2</v>
      </c>
      <c r="P256" s="9">
        <f>Table_dat150_[[#This Row],[Log Quadratic Trend]]+Table_dat150_[[#This Row],[Cycle]]</f>
        <v>6.9145762383458385</v>
      </c>
      <c r="Q256" s="9">
        <f>Table_dat150_[[#This Row],[LogExpenditure]]-Table_dat150_[[#This Row],[Log Quadratic Trend]]-Table_dat150_[[#This Row],[Cycle]]</f>
        <v>5.4274139996108951E-2</v>
      </c>
      <c r="R256" s="9">
        <f>AVERAGEIF(Table_dat150_[Quarter], B256, Table_dat150_[High Frequency])</f>
        <v>3.7456808917954526E-2</v>
      </c>
      <c r="S256" s="9">
        <f>Table_dat150_[[#This Row],[S0]]-AVERAGE($R$6:$R$9)</f>
        <v>3.7550349586397608E-2</v>
      </c>
    </row>
    <row r="257" spans="1:19" x14ac:dyDescent="0.3">
      <c r="A257">
        <v>2013</v>
      </c>
      <c r="B257">
        <v>4</v>
      </c>
      <c r="C257" s="1">
        <f>DATE(Table_dat150_[[#This Row],[Year]],(Table_dat150_[[#This Row],[Quarter]]-1)*3+2,15)</f>
        <v>41593</v>
      </c>
      <c r="D257">
        <f>Table_dat150_[[#This Row],[Year]]+1/8+(Table_dat150_[[#This Row],[Quarter]]-1)/4</f>
        <v>2013.875</v>
      </c>
      <c r="E257">
        <f>Table_dat150_[[#This Row],[DecDate]]^2</f>
        <v>4055692.515625</v>
      </c>
      <c r="F257">
        <v>1000</v>
      </c>
      <c r="G257" s="8">
        <f>LN(Table_dat150_[[#This Row],[Expenditure]])</f>
        <v>6.9077552789821368</v>
      </c>
      <c r="H257" s="9">
        <f t="shared" si="6"/>
        <v>-5.9266227657572904E-2</v>
      </c>
      <c r="I257" s="9">
        <f>(1+Table_dat150_[[#This Row],[gt]])^4 -1</f>
        <v>-0.2168103457478805</v>
      </c>
      <c r="J257" s="9">
        <f>$V$18+$V$19*Table_dat150_[[#This Row],[DecDate]]</f>
        <v>1016.7834535200782</v>
      </c>
      <c r="K257" s="9">
        <f>$V$37+$V$38*Table_dat150_[[#This Row],[DecDate]]+$V$39*Table_dat150_[[#This Row],[DecDate2]]</f>
        <v>1024.9534460055584</v>
      </c>
      <c r="L257" s="9">
        <f>$AF$18+$AF$19*Table_dat150_[[#This Row],[DecDate]]</f>
        <v>6.9295293088754866</v>
      </c>
      <c r="M257" s="9">
        <f>$AF$37+$AF$38*Table_dat150_[[#This Row],[DecDate]]+$AF$39*Table_dat150_[[#This Row],[DecDate2]]</f>
        <v>6.9319239631619887</v>
      </c>
      <c r="N257" s="9">
        <f>Table_dat150_[[#This Row],[LogExpenditure]]-Table_dat150_[[#This Row],[Log Quadratic Trend]]</f>
        <v>-2.4168684179851851E-2</v>
      </c>
      <c r="O257" s="9">
        <f t="shared" si="7"/>
        <v>-3.9494128931373499E-3</v>
      </c>
      <c r="P257" s="9">
        <f>Table_dat150_[[#This Row],[Log Quadratic Trend]]+Table_dat150_[[#This Row],[Cycle]]</f>
        <v>6.9279745502688517</v>
      </c>
      <c r="Q257" s="9">
        <f>Table_dat150_[[#This Row],[LogExpenditure]]-Table_dat150_[[#This Row],[Log Quadratic Trend]]-Table_dat150_[[#This Row],[Cycle]]</f>
        <v>-2.0219271286714503E-2</v>
      </c>
      <c r="R257" s="9">
        <f>AVERAGEIF(Table_dat150_[Quarter], B257, Table_dat150_[High Frequency])</f>
        <v>-2.8472086212635514E-2</v>
      </c>
      <c r="S257" s="9">
        <f>Table_dat150_[[#This Row],[S0]]-AVERAGE($R$6:$R$9)</f>
        <v>-2.8378545544192432E-2</v>
      </c>
    </row>
    <row r="258" spans="1:19" x14ac:dyDescent="0.3">
      <c r="A258">
        <v>2014</v>
      </c>
      <c r="B258">
        <v>1</v>
      </c>
      <c r="C258" s="1">
        <f>DATE(Table_dat150_[[#This Row],[Year]],(Table_dat150_[[#This Row],[Quarter]]-1)*3+2,15)</f>
        <v>41685</v>
      </c>
      <c r="D258">
        <f>Table_dat150_[[#This Row],[Year]]+1/8+(Table_dat150_[[#This Row],[Quarter]]-1)/4</f>
        <v>2014.125</v>
      </c>
      <c r="E258">
        <f>Table_dat150_[[#This Row],[DecDate]]^2</f>
        <v>4056699.515625</v>
      </c>
      <c r="F258">
        <v>983</v>
      </c>
      <c r="G258" s="8">
        <f>LN(Table_dat150_[[#This Row],[Expenditure]])</f>
        <v>6.8906091201471664</v>
      </c>
      <c r="H258" s="9">
        <f t="shared" si="6"/>
        <v>-1.7000000000000001E-2</v>
      </c>
      <c r="I258" s="9">
        <f>(1+Table_dat150_[[#This Row],[gt]])^4 -1</f>
        <v>-6.6285568479000134E-2</v>
      </c>
      <c r="J258" s="9">
        <f>$V$18+$V$19*Table_dat150_[[#This Row],[DecDate]]</f>
        <v>1018.0891090639052</v>
      </c>
      <c r="K258" s="9">
        <f>$V$37+$V$38*Table_dat150_[[#This Row],[DecDate]]+$V$39*Table_dat150_[[#This Row],[DecDate2]]</f>
        <v>1026.5614482928795</v>
      </c>
      <c r="L258" s="9">
        <f>$AF$18+$AF$19*Table_dat150_[[#This Row],[DecDate]]</f>
        <v>6.9310353376262617</v>
      </c>
      <c r="M258" s="9">
        <f>$AF$37+$AF$38*Table_dat150_[[#This Row],[DecDate]]+$AF$39*Table_dat150_[[#This Row],[DecDate2]]</f>
        <v>6.9335186108345823</v>
      </c>
      <c r="N258" s="9">
        <f>Table_dat150_[[#This Row],[LogExpenditure]]-Table_dat150_[[#This Row],[Log Quadratic Trend]]</f>
        <v>-4.2909490687415897E-2</v>
      </c>
      <c r="O258" s="9">
        <f t="shared" si="7"/>
        <v>-1.292692760648606E-3</v>
      </c>
      <c r="P258" s="9">
        <f>Table_dat150_[[#This Row],[Log Quadratic Trend]]+Table_dat150_[[#This Row],[Cycle]]</f>
        <v>6.9322259180739341</v>
      </c>
      <c r="Q258" s="9">
        <f>Table_dat150_[[#This Row],[LogExpenditure]]-Table_dat150_[[#This Row],[Log Quadratic Trend]]-Table_dat150_[[#This Row],[Cycle]]</f>
        <v>-4.1616797926767292E-2</v>
      </c>
      <c r="R258" s="9">
        <f>AVERAGEIF(Table_dat150_[Quarter], B258, Table_dat150_[High Frequency])</f>
        <v>-4.2281954239907563E-2</v>
      </c>
      <c r="S258" s="9">
        <f>Table_dat150_[[#This Row],[S0]]-AVERAGE($R$6:$R$9)</f>
        <v>-4.2188413571464481E-2</v>
      </c>
    </row>
    <row r="259" spans="1:19" x14ac:dyDescent="0.3">
      <c r="A259">
        <v>2014</v>
      </c>
      <c r="B259">
        <v>2</v>
      </c>
      <c r="C259" s="1">
        <f>DATE(Table_dat150_[[#This Row],[Year]],(Table_dat150_[[#This Row],[Quarter]]-1)*3+2,15)</f>
        <v>41774</v>
      </c>
      <c r="D259">
        <f>Table_dat150_[[#This Row],[Year]]+1/8+(Table_dat150_[[#This Row],[Quarter]]-1)/4</f>
        <v>2014.375</v>
      </c>
      <c r="E259">
        <f>Table_dat150_[[#This Row],[DecDate]]^2</f>
        <v>4057706.640625</v>
      </c>
      <c r="F259">
        <v>1034</v>
      </c>
      <c r="G259" s="8">
        <f>LN(Table_dat150_[[#This Row],[Expenditure]])</f>
        <v>6.9411900550683745</v>
      </c>
      <c r="H259" s="9">
        <f t="shared" ref="H259:H285" si="8">(F259-F258)/F258</f>
        <v>5.188199389623601E-2</v>
      </c>
      <c r="I259" s="9">
        <f>(1+Table_dat150_[[#This Row],[gt]])^4 -1</f>
        <v>0.22424428042086131</v>
      </c>
      <c r="J259" s="9">
        <f>$V$18+$V$19*Table_dat150_[[#This Row],[DecDate]]</f>
        <v>1019.3947646077304</v>
      </c>
      <c r="K259" s="9">
        <f>$V$37+$V$38*Table_dat150_[[#This Row],[DecDate]]+$V$39*Table_dat150_[[#This Row],[DecDate2]]</f>
        <v>1028.1721027446329</v>
      </c>
      <c r="L259" s="9">
        <f>$AF$18+$AF$19*Table_dat150_[[#This Row],[DecDate]]</f>
        <v>6.9325413663770368</v>
      </c>
      <c r="M259" s="9">
        <f>$AF$37+$AF$38*Table_dat150_[[#This Row],[DecDate]]+$AF$39*Table_dat150_[[#This Row],[DecDate2]]</f>
        <v>6.9351140358661425</v>
      </c>
      <c r="N259" s="9">
        <f>Table_dat150_[[#This Row],[LogExpenditure]]-Table_dat150_[[#This Row],[Log Quadratic Trend]]</f>
        <v>6.076019202231997E-3</v>
      </c>
      <c r="O259" s="9">
        <f t="shared" si="7"/>
        <v>-1.4907237597549994E-2</v>
      </c>
      <c r="P259" s="9">
        <f>Table_dat150_[[#This Row],[Log Quadratic Trend]]+Table_dat150_[[#This Row],[Cycle]]</f>
        <v>6.9202067982685929</v>
      </c>
      <c r="Q259" s="9">
        <f>Table_dat150_[[#This Row],[LogExpenditure]]-Table_dat150_[[#This Row],[Log Quadratic Trend]]-Table_dat150_[[#This Row],[Cycle]]</f>
        <v>2.0983256799781989E-2</v>
      </c>
      <c r="R259" s="9">
        <f>AVERAGEIF(Table_dat150_[Quarter], B259, Table_dat150_[High Frequency])</f>
        <v>3.2923068860816217E-2</v>
      </c>
      <c r="S259" s="9">
        <f>Table_dat150_[[#This Row],[S0]]-AVERAGE($R$6:$R$9)</f>
        <v>3.3016609529259298E-2</v>
      </c>
    </row>
    <row r="260" spans="1:19" x14ac:dyDescent="0.3">
      <c r="A260">
        <v>2014</v>
      </c>
      <c r="B260">
        <v>3</v>
      </c>
      <c r="C260" s="1">
        <f>DATE(Table_dat150_[[#This Row],[Year]],(Table_dat150_[[#This Row],[Quarter]]-1)*3+2,15)</f>
        <v>41866</v>
      </c>
      <c r="D260">
        <f>Table_dat150_[[#This Row],[Year]]+1/8+(Table_dat150_[[#This Row],[Quarter]]-1)/4</f>
        <v>2014.625</v>
      </c>
      <c r="E260">
        <f>Table_dat150_[[#This Row],[DecDate]]^2</f>
        <v>4058713.890625</v>
      </c>
      <c r="F260">
        <v>1046</v>
      </c>
      <c r="G260" s="8">
        <f>LN(Table_dat150_[[#This Row],[Expenditure]])</f>
        <v>6.9527286446248686</v>
      </c>
      <c r="H260" s="9">
        <f t="shared" si="8"/>
        <v>1.160541586073501E-2</v>
      </c>
      <c r="I260" s="9">
        <f>(1+Table_dat150_[[#This Row],[gt]])^4 -1</f>
        <v>4.723604798015768E-2</v>
      </c>
      <c r="J260" s="9">
        <f>$V$18+$V$19*Table_dat150_[[#This Row],[DecDate]]</f>
        <v>1020.7004201515574</v>
      </c>
      <c r="K260" s="9">
        <f>$V$37+$V$38*Table_dat150_[[#This Row],[DecDate]]+$V$39*Table_dat150_[[#This Row],[DecDate2]]</f>
        <v>1029.7854093607893</v>
      </c>
      <c r="L260" s="9">
        <f>$AF$18+$AF$19*Table_dat150_[[#This Row],[DecDate]]</f>
        <v>6.9340473951278119</v>
      </c>
      <c r="M260" s="9">
        <f>$AF$37+$AF$38*Table_dat150_[[#This Row],[DecDate]]+$AF$39*Table_dat150_[[#This Row],[DecDate2]]</f>
        <v>6.9367102382566621</v>
      </c>
      <c r="N260" s="9">
        <f>Table_dat150_[[#This Row],[LogExpenditure]]-Table_dat150_[[#This Row],[Log Quadratic Trend]]</f>
        <v>1.6018406368206506E-2</v>
      </c>
      <c r="O260" s="9">
        <f t="shared" si="7"/>
        <v>-1.254291452883507E-2</v>
      </c>
      <c r="P260" s="9">
        <f>Table_dat150_[[#This Row],[Log Quadratic Trend]]+Table_dat150_[[#This Row],[Cycle]]</f>
        <v>6.9241673237278274</v>
      </c>
      <c r="Q260" s="9">
        <f>Table_dat150_[[#This Row],[LogExpenditure]]-Table_dat150_[[#This Row],[Log Quadratic Trend]]-Table_dat150_[[#This Row],[Cycle]]</f>
        <v>2.8561320897041574E-2</v>
      </c>
      <c r="R260" s="9">
        <f>AVERAGEIF(Table_dat150_[Quarter], B260, Table_dat150_[High Frequency])</f>
        <v>3.7456808917954526E-2</v>
      </c>
      <c r="S260" s="9">
        <f>Table_dat150_[[#This Row],[S0]]-AVERAGE($R$6:$R$9)</f>
        <v>3.7550349586397608E-2</v>
      </c>
    </row>
    <row r="261" spans="1:19" x14ac:dyDescent="0.3">
      <c r="A261">
        <v>2014</v>
      </c>
      <c r="B261">
        <v>4</v>
      </c>
      <c r="C261" s="1">
        <f>DATE(Table_dat150_[[#This Row],[Year]],(Table_dat150_[[#This Row],[Quarter]]-1)*3+2,15)</f>
        <v>41958</v>
      </c>
      <c r="D261">
        <f>Table_dat150_[[#This Row],[Year]]+1/8+(Table_dat150_[[#This Row],[Quarter]]-1)/4</f>
        <v>2014.875</v>
      </c>
      <c r="E261">
        <f>Table_dat150_[[#This Row],[DecDate]]^2</f>
        <v>4059721.265625</v>
      </c>
      <c r="F261">
        <v>1001</v>
      </c>
      <c r="G261" s="8">
        <f>LN(Table_dat150_[[#This Row],[Expenditure]])</f>
        <v>6.9087547793152204</v>
      </c>
      <c r="H261" s="9">
        <f t="shared" si="8"/>
        <v>-4.3021032504780114E-2</v>
      </c>
      <c r="I261" s="9">
        <f>(1+Table_dat150_[[#This Row],[gt]])^4 -1</f>
        <v>-0.16129434399513576</v>
      </c>
      <c r="J261" s="9">
        <f>$V$18+$V$19*Table_dat150_[[#This Row],[DecDate]]</f>
        <v>1022.0060756953844</v>
      </c>
      <c r="K261" s="9">
        <f>$V$37+$V$38*Table_dat150_[[#This Row],[DecDate]]+$V$39*Table_dat150_[[#This Row],[DecDate2]]</f>
        <v>1031.4013681413635</v>
      </c>
      <c r="L261" s="9">
        <f>$AF$18+$AF$19*Table_dat150_[[#This Row],[DecDate]]</f>
        <v>6.9355534238785888</v>
      </c>
      <c r="M261" s="9">
        <f>$AF$37+$AF$38*Table_dat150_[[#This Row],[DecDate]]+$AF$39*Table_dat150_[[#This Row],[DecDate2]]</f>
        <v>6.9383072180061411</v>
      </c>
      <c r="N261" s="9">
        <f>Table_dat150_[[#This Row],[LogExpenditure]]-Table_dat150_[[#This Row],[Log Quadratic Trend]]</f>
        <v>-2.9552438690920724E-2</v>
      </c>
      <c r="O261" s="9">
        <f t="shared" ref="O261:O283" si="9">AVERAGE(N259:N263)</f>
        <v>4.3108319860360568E-3</v>
      </c>
      <c r="P261" s="9">
        <f>Table_dat150_[[#This Row],[Log Quadratic Trend]]+Table_dat150_[[#This Row],[Cycle]]</f>
        <v>6.942618049992177</v>
      </c>
      <c r="Q261" s="9">
        <f>Table_dat150_[[#This Row],[LogExpenditure]]-Table_dat150_[[#This Row],[Log Quadratic Trend]]-Table_dat150_[[#This Row],[Cycle]]</f>
        <v>-3.3863270676956783E-2</v>
      </c>
      <c r="R261" s="9">
        <f>AVERAGEIF(Table_dat150_[Quarter], B261, Table_dat150_[High Frequency])</f>
        <v>-2.8472086212635514E-2</v>
      </c>
      <c r="S261" s="9">
        <f>Table_dat150_[[#This Row],[S0]]-AVERAGE($R$6:$R$9)</f>
        <v>-2.8378545544192432E-2</v>
      </c>
    </row>
    <row r="262" spans="1:19" x14ac:dyDescent="0.3">
      <c r="A262">
        <v>2015</v>
      </c>
      <c r="B262">
        <v>1</v>
      </c>
      <c r="C262" s="1">
        <f>DATE(Table_dat150_[[#This Row],[Year]],(Table_dat150_[[#This Row],[Quarter]]-1)*3+2,15)</f>
        <v>42050</v>
      </c>
      <c r="D262">
        <f>Table_dat150_[[#This Row],[Year]]+1/8+(Table_dat150_[[#This Row],[Quarter]]-1)/4</f>
        <v>2015.125</v>
      </c>
      <c r="E262">
        <f>Table_dat150_[[#This Row],[DecDate]]^2</f>
        <v>4060728.765625</v>
      </c>
      <c r="F262">
        <v>1020</v>
      </c>
      <c r="G262" s="8">
        <f>LN(Table_dat150_[[#This Row],[Expenditure]])</f>
        <v>6.9275579062783166</v>
      </c>
      <c r="H262" s="9">
        <f t="shared" si="8"/>
        <v>1.898101898101898E-2</v>
      </c>
      <c r="I262" s="9">
        <f>(1+Table_dat150_[[#This Row],[gt]])^4 -1</f>
        <v>7.8113234070781079E-2</v>
      </c>
      <c r="J262" s="9">
        <f>$V$18+$V$19*Table_dat150_[[#This Row],[DecDate]]</f>
        <v>1023.3117312392096</v>
      </c>
      <c r="K262" s="9">
        <f>$V$37+$V$38*Table_dat150_[[#This Row],[DecDate]]+$V$39*Table_dat150_[[#This Row],[DecDate2]]</f>
        <v>1033.0199790863262</v>
      </c>
      <c r="L262" s="9">
        <f>$AF$18+$AF$19*Table_dat150_[[#This Row],[DecDate]]</f>
        <v>6.9370594526293639</v>
      </c>
      <c r="M262" s="9">
        <f>$AF$37+$AF$38*Table_dat150_[[#This Row],[DecDate]]+$AF$39*Table_dat150_[[#This Row],[DecDate2]]</f>
        <v>6.9399049751145938</v>
      </c>
      <c r="N262" s="9">
        <f>Table_dat150_[[#This Row],[LogExpenditure]]-Table_dat150_[[#This Row],[Log Quadratic Trend]]</f>
        <v>-1.2347068836277231E-2</v>
      </c>
      <c r="O262" s="9">
        <f t="shared" si="9"/>
        <v>1.1973113264112989E-2</v>
      </c>
      <c r="P262" s="9">
        <f>Table_dat150_[[#This Row],[Log Quadratic Trend]]+Table_dat150_[[#This Row],[Cycle]]</f>
        <v>6.9518780883787068</v>
      </c>
      <c r="Q262" s="9">
        <f>Table_dat150_[[#This Row],[LogExpenditure]]-Table_dat150_[[#This Row],[Log Quadratic Trend]]-Table_dat150_[[#This Row],[Cycle]]</f>
        <v>-2.432018210039022E-2</v>
      </c>
      <c r="R262" s="9">
        <f>AVERAGEIF(Table_dat150_[Quarter], B262, Table_dat150_[High Frequency])</f>
        <v>-4.2281954239907563E-2</v>
      </c>
      <c r="S262" s="9">
        <f>Table_dat150_[[#This Row],[S0]]-AVERAGE($R$6:$R$9)</f>
        <v>-4.2188413571464481E-2</v>
      </c>
    </row>
    <row r="263" spans="1:19" x14ac:dyDescent="0.3">
      <c r="A263">
        <v>2015</v>
      </c>
      <c r="B263">
        <v>2</v>
      </c>
      <c r="C263" s="1">
        <f>DATE(Table_dat150_[[#This Row],[Year]],(Table_dat150_[[#This Row],[Quarter]]-1)*3+2,15)</f>
        <v>42139</v>
      </c>
      <c r="D263">
        <f>Table_dat150_[[#This Row],[Year]]+1/8+(Table_dat150_[[#This Row],[Quarter]]-1)/4</f>
        <v>2015.375</v>
      </c>
      <c r="E263">
        <f>Table_dat150_[[#This Row],[DecDate]]^2</f>
        <v>4061736.390625</v>
      </c>
      <c r="F263">
        <v>1078</v>
      </c>
      <c r="G263" s="8">
        <f>LN(Table_dat150_[[#This Row],[Expenditure]])</f>
        <v>6.9828627514689421</v>
      </c>
      <c r="H263" s="9">
        <f t="shared" si="8"/>
        <v>5.6862745098039215E-2</v>
      </c>
      <c r="I263" s="9">
        <f>(1+Table_dat150_[[#This Row],[gt]])^4 -1</f>
        <v>0.24759709934708507</v>
      </c>
      <c r="J263" s="9">
        <f>$V$18+$V$19*Table_dat150_[[#This Row],[DecDate]]</f>
        <v>1024.6173867830366</v>
      </c>
      <c r="K263" s="9">
        <f>$V$37+$V$38*Table_dat150_[[#This Row],[DecDate]]+$V$39*Table_dat150_[[#This Row],[DecDate2]]</f>
        <v>1034.6412421957502</v>
      </c>
      <c r="L263" s="9">
        <f>$AF$18+$AF$19*Table_dat150_[[#This Row],[DecDate]]</f>
        <v>6.938565481380139</v>
      </c>
      <c r="M263" s="9">
        <f>$AF$37+$AF$38*Table_dat150_[[#This Row],[DecDate]]+$AF$39*Table_dat150_[[#This Row],[DecDate2]]</f>
        <v>6.9415035095820024</v>
      </c>
      <c r="N263" s="9">
        <f>Table_dat150_[[#This Row],[LogExpenditure]]-Table_dat150_[[#This Row],[Log Quadratic Trend]]</f>
        <v>4.1359241886939735E-2</v>
      </c>
      <c r="O263" s="9">
        <f t="shared" si="9"/>
        <v>7.6796390800316413E-3</v>
      </c>
      <c r="P263" s="9">
        <f>Table_dat150_[[#This Row],[Log Quadratic Trend]]+Table_dat150_[[#This Row],[Cycle]]</f>
        <v>6.9491831486620343</v>
      </c>
      <c r="Q263" s="9">
        <f>Table_dat150_[[#This Row],[LogExpenditure]]-Table_dat150_[[#This Row],[Log Quadratic Trend]]-Table_dat150_[[#This Row],[Cycle]]</f>
        <v>3.3679602806908092E-2</v>
      </c>
      <c r="R263" s="9">
        <f>AVERAGEIF(Table_dat150_[Quarter], B263, Table_dat150_[High Frequency])</f>
        <v>3.2923068860816217E-2</v>
      </c>
      <c r="S263" s="9">
        <f>Table_dat150_[[#This Row],[S0]]-AVERAGE($R$6:$R$9)</f>
        <v>3.3016609529259298E-2</v>
      </c>
    </row>
    <row r="264" spans="1:19" x14ac:dyDescent="0.3">
      <c r="A264">
        <v>2015</v>
      </c>
      <c r="B264">
        <v>3</v>
      </c>
      <c r="C264" s="1">
        <f>DATE(Table_dat150_[[#This Row],[Year]],(Table_dat150_[[#This Row],[Quarter]]-1)*3+2,15)</f>
        <v>42231</v>
      </c>
      <c r="D264">
        <f>Table_dat150_[[#This Row],[Year]]+1/8+(Table_dat150_[[#This Row],[Quarter]]-1)/4</f>
        <v>2015.625</v>
      </c>
      <c r="E264">
        <f>Table_dat150_[[#This Row],[DecDate]]^2</f>
        <v>4062744.140625</v>
      </c>
      <c r="F264">
        <v>1083</v>
      </c>
      <c r="G264" s="8">
        <f>LN(Table_dat150_[[#This Row],[Expenditure]])</f>
        <v>6.9874902470009905</v>
      </c>
      <c r="H264" s="9">
        <f t="shared" si="8"/>
        <v>4.6382189239332098E-3</v>
      </c>
      <c r="I264" s="9">
        <f>(1+Table_dat150_[[#This Row],[gt]])^4 -1</f>
        <v>1.8682353736665158E-2</v>
      </c>
      <c r="J264" s="9">
        <f>$V$18+$V$19*Table_dat150_[[#This Row],[DecDate]]</f>
        <v>1025.9230423268637</v>
      </c>
      <c r="K264" s="9">
        <f>$V$37+$V$38*Table_dat150_[[#This Row],[DecDate]]+$V$39*Table_dat150_[[#This Row],[DecDate2]]</f>
        <v>1036.2651574695774</v>
      </c>
      <c r="L264" s="9">
        <f>$AF$18+$AF$19*Table_dat150_[[#This Row],[DecDate]]</f>
        <v>6.9400715101309141</v>
      </c>
      <c r="M264" s="9">
        <f>$AF$37+$AF$38*Table_dat150_[[#This Row],[DecDate]]+$AF$39*Table_dat150_[[#This Row],[DecDate2]]</f>
        <v>6.9431028214083739</v>
      </c>
      <c r="N264" s="9">
        <f>Table_dat150_[[#This Row],[LogExpenditure]]-Table_dat150_[[#This Row],[Log Quadratic Trend]]</f>
        <v>4.4387425592616658E-2</v>
      </c>
      <c r="O264" s="9">
        <f t="shared" si="9"/>
        <v>1.4300662390767726E-2</v>
      </c>
      <c r="P264" s="9">
        <f>Table_dat150_[[#This Row],[Log Quadratic Trend]]+Table_dat150_[[#This Row],[Cycle]]</f>
        <v>6.9574034837991414</v>
      </c>
      <c r="Q264" s="9">
        <f>Table_dat150_[[#This Row],[LogExpenditure]]-Table_dat150_[[#This Row],[Log Quadratic Trend]]-Table_dat150_[[#This Row],[Cycle]]</f>
        <v>3.0086763201848932E-2</v>
      </c>
      <c r="R264" s="9">
        <f>AVERAGEIF(Table_dat150_[Quarter], B264, Table_dat150_[High Frequency])</f>
        <v>3.7456808917954526E-2</v>
      </c>
      <c r="S264" s="9">
        <f>Table_dat150_[[#This Row],[S0]]-AVERAGE($R$6:$R$9)</f>
        <v>3.7550349586397608E-2</v>
      </c>
    </row>
    <row r="265" spans="1:19" x14ac:dyDescent="0.3">
      <c r="A265">
        <v>2015</v>
      </c>
      <c r="B265">
        <v>4</v>
      </c>
      <c r="C265" s="1">
        <f>DATE(Table_dat150_[[#This Row],[Year]],(Table_dat150_[[#This Row],[Quarter]]-1)*3+2,15)</f>
        <v>42323</v>
      </c>
      <c r="D265">
        <f>Table_dat150_[[#This Row],[Year]]+1/8+(Table_dat150_[[#This Row],[Quarter]]-1)/4</f>
        <v>2015.875</v>
      </c>
      <c r="E265">
        <f>Table_dat150_[[#This Row],[DecDate]]^2</f>
        <v>4063752.015625</v>
      </c>
      <c r="F265">
        <v>1032</v>
      </c>
      <c r="G265" s="8">
        <f>LN(Table_dat150_[[#This Row],[Expenditure]])</f>
        <v>6.9392539460415081</v>
      </c>
      <c r="H265" s="9">
        <f t="shared" si="8"/>
        <v>-4.7091412742382273E-2</v>
      </c>
      <c r="I265" s="9">
        <f>(1+Table_dat150_[[#This Row],[gt]])^4 -1</f>
        <v>-0.17547284617518788</v>
      </c>
      <c r="J265" s="9">
        <f>$V$18+$V$19*Table_dat150_[[#This Row],[DecDate]]</f>
        <v>1027.2286978706888</v>
      </c>
      <c r="K265" s="9">
        <f>$V$37+$V$38*Table_dat150_[[#This Row],[DecDate]]+$V$39*Table_dat150_[[#This Row],[DecDate2]]</f>
        <v>1037.8917249078222</v>
      </c>
      <c r="L265" s="9">
        <f>$AF$18+$AF$19*Table_dat150_[[#This Row],[DecDate]]</f>
        <v>6.9415775388816892</v>
      </c>
      <c r="M265" s="9">
        <f>$AF$37+$AF$38*Table_dat150_[[#This Row],[DecDate]]+$AF$39*Table_dat150_[[#This Row],[DecDate2]]</f>
        <v>6.9447029105937084</v>
      </c>
      <c r="N265" s="9">
        <f>Table_dat150_[[#This Row],[LogExpenditure]]-Table_dat150_[[#This Row],[Log Quadratic Trend]]</f>
        <v>-5.4489645522002306E-3</v>
      </c>
      <c r="O265" s="9">
        <f t="shared" si="9"/>
        <v>2.6342223210738602E-2</v>
      </c>
      <c r="P265" s="9">
        <f>Table_dat150_[[#This Row],[Log Quadratic Trend]]+Table_dat150_[[#This Row],[Cycle]]</f>
        <v>6.9710451338044468</v>
      </c>
      <c r="Q265" s="9">
        <f>Table_dat150_[[#This Row],[LogExpenditure]]-Table_dat150_[[#This Row],[Log Quadratic Trend]]-Table_dat150_[[#This Row],[Cycle]]</f>
        <v>-3.1791187762938836E-2</v>
      </c>
      <c r="R265" s="9">
        <f>AVERAGEIF(Table_dat150_[Quarter], B265, Table_dat150_[High Frequency])</f>
        <v>-2.8472086212635514E-2</v>
      </c>
      <c r="S265" s="9">
        <f>Table_dat150_[[#This Row],[S0]]-AVERAGE($R$6:$R$9)</f>
        <v>-2.8378545544192432E-2</v>
      </c>
    </row>
    <row r="266" spans="1:19" x14ac:dyDescent="0.3">
      <c r="A266">
        <v>2016</v>
      </c>
      <c r="B266">
        <v>1</v>
      </c>
      <c r="C266" s="1">
        <f>DATE(Table_dat150_[[#This Row],[Year]],(Table_dat150_[[#This Row],[Quarter]]-1)*3+2,15)</f>
        <v>42415</v>
      </c>
      <c r="D266">
        <f>Table_dat150_[[#This Row],[Year]]+1/8+(Table_dat150_[[#This Row],[Quarter]]-1)/4</f>
        <v>2016.125</v>
      </c>
      <c r="E266">
        <f>Table_dat150_[[#This Row],[DecDate]]^2</f>
        <v>4064760.015625</v>
      </c>
      <c r="F266">
        <v>1043</v>
      </c>
      <c r="G266" s="8">
        <f>LN(Table_dat150_[[#This Row],[Expenditure]])</f>
        <v>6.9498564550007726</v>
      </c>
      <c r="H266" s="9">
        <f t="shared" si="8"/>
        <v>1.065891472868217E-2</v>
      </c>
      <c r="I266" s="9">
        <f>(1+Table_dat150_[[#This Row],[gt]])^4 -1</f>
        <v>4.3322190543909622E-2</v>
      </c>
      <c r="J266" s="9">
        <f>$V$18+$V$19*Table_dat150_[[#This Row],[DecDate]]</f>
        <v>1028.5343534145159</v>
      </c>
      <c r="K266" s="9">
        <f>$V$37+$V$38*Table_dat150_[[#This Row],[DecDate]]+$V$39*Table_dat150_[[#This Row],[DecDate2]]</f>
        <v>1039.5209445104847</v>
      </c>
      <c r="L266" s="9">
        <f>$AF$18+$AF$19*Table_dat150_[[#This Row],[DecDate]]</f>
        <v>6.943083567632466</v>
      </c>
      <c r="M266" s="9">
        <f>$AF$37+$AF$38*Table_dat150_[[#This Row],[DecDate]]+$AF$39*Table_dat150_[[#This Row],[DecDate2]]</f>
        <v>6.9463037771380129</v>
      </c>
      <c r="N266" s="9">
        <f>Table_dat150_[[#This Row],[LogExpenditure]]-Table_dat150_[[#This Row],[Log Quadratic Trend]]</f>
        <v>3.5526778627597011E-3</v>
      </c>
      <c r="O266" s="9">
        <f t="shared" si="9"/>
        <v>2.6955401417288451E-2</v>
      </c>
      <c r="P266" s="9">
        <f>Table_dat150_[[#This Row],[Log Quadratic Trend]]+Table_dat150_[[#This Row],[Cycle]]</f>
        <v>6.9732591785553018</v>
      </c>
      <c r="Q266" s="9">
        <f>Table_dat150_[[#This Row],[LogExpenditure]]-Table_dat150_[[#This Row],[Log Quadratic Trend]]-Table_dat150_[[#This Row],[Cycle]]</f>
        <v>-2.340272355452875E-2</v>
      </c>
      <c r="R266" s="9">
        <f>AVERAGEIF(Table_dat150_[Quarter], B266, Table_dat150_[High Frequency])</f>
        <v>-4.2281954239907563E-2</v>
      </c>
      <c r="S266" s="9">
        <f>Table_dat150_[[#This Row],[S0]]-AVERAGE($R$6:$R$9)</f>
        <v>-4.2188413571464481E-2</v>
      </c>
    </row>
    <row r="267" spans="1:19" x14ac:dyDescent="0.3">
      <c r="A267">
        <v>2016</v>
      </c>
      <c r="B267">
        <v>2</v>
      </c>
      <c r="C267" s="1">
        <f>DATE(Table_dat150_[[#This Row],[Year]],(Table_dat150_[[#This Row],[Quarter]]-1)*3+2,15)</f>
        <v>42505</v>
      </c>
      <c r="D267">
        <f>Table_dat150_[[#This Row],[Year]]+1/8+(Table_dat150_[[#This Row],[Quarter]]-1)/4</f>
        <v>2016.375</v>
      </c>
      <c r="E267">
        <f>Table_dat150_[[#This Row],[DecDate]]^2</f>
        <v>4065768.140625</v>
      </c>
      <c r="F267">
        <v>1092</v>
      </c>
      <c r="G267" s="8">
        <f>LN(Table_dat150_[[#This Row],[Expenditure]])</f>
        <v>6.9957661563048505</v>
      </c>
      <c r="H267" s="9">
        <f t="shared" si="8"/>
        <v>4.6979865771812082E-2</v>
      </c>
      <c r="I267" s="9">
        <f>(1+Table_dat150_[[#This Row],[gt]])^4 -1</f>
        <v>0.20158173965014603</v>
      </c>
      <c r="J267" s="9">
        <f>$V$18+$V$19*Table_dat150_[[#This Row],[DecDate]]</f>
        <v>1029.8400089583429</v>
      </c>
      <c r="K267" s="9">
        <f>$V$37+$V$38*Table_dat150_[[#This Row],[DecDate]]+$V$39*Table_dat150_[[#This Row],[DecDate2]]</f>
        <v>1041.1528162775503</v>
      </c>
      <c r="L267" s="9">
        <f>$AF$18+$AF$19*Table_dat150_[[#This Row],[DecDate]]</f>
        <v>6.9445895963832411</v>
      </c>
      <c r="M267" s="9">
        <f>$AF$37+$AF$38*Table_dat150_[[#This Row],[DecDate]]+$AF$39*Table_dat150_[[#This Row],[DecDate2]]</f>
        <v>6.9479054210412734</v>
      </c>
      <c r="N267" s="9">
        <f>Table_dat150_[[#This Row],[LogExpenditure]]-Table_dat150_[[#This Row],[Log Quadratic Trend]]</f>
        <v>4.7860735263577148E-2</v>
      </c>
      <c r="O267" s="9">
        <f t="shared" si="9"/>
        <v>2.2938493605016673E-2</v>
      </c>
      <c r="P267" s="9">
        <f>Table_dat150_[[#This Row],[Log Quadratic Trend]]+Table_dat150_[[#This Row],[Cycle]]</f>
        <v>6.9708439146462897</v>
      </c>
      <c r="Q267" s="9">
        <f>Table_dat150_[[#This Row],[LogExpenditure]]-Table_dat150_[[#This Row],[Log Quadratic Trend]]-Table_dat150_[[#This Row],[Cycle]]</f>
        <v>2.4922241658560475E-2</v>
      </c>
      <c r="R267" s="9">
        <f>AVERAGEIF(Table_dat150_[Quarter], B267, Table_dat150_[High Frequency])</f>
        <v>3.2923068860816217E-2</v>
      </c>
      <c r="S267" s="9">
        <f>Table_dat150_[[#This Row],[S0]]-AVERAGE($R$6:$R$9)</f>
        <v>3.3016609529259298E-2</v>
      </c>
    </row>
    <row r="268" spans="1:19" x14ac:dyDescent="0.3">
      <c r="A268">
        <v>2016</v>
      </c>
      <c r="B268">
        <v>3</v>
      </c>
      <c r="C268" s="1">
        <f>DATE(Table_dat150_[[#This Row],[Year]],(Table_dat150_[[#This Row],[Quarter]]-1)*3+2,15)</f>
        <v>42597</v>
      </c>
      <c r="D268">
        <f>Table_dat150_[[#This Row],[Year]]+1/8+(Table_dat150_[[#This Row],[Quarter]]-1)/4</f>
        <v>2016.625</v>
      </c>
      <c r="E268">
        <f>Table_dat150_[[#This Row],[DecDate]]^2</f>
        <v>4066776.390625</v>
      </c>
      <c r="F268">
        <v>1090</v>
      </c>
      <c r="G268" s="8">
        <f>LN(Table_dat150_[[#This Row],[Expenditure]])</f>
        <v>6.9939329752231894</v>
      </c>
      <c r="H268" s="9">
        <f t="shared" si="8"/>
        <v>-1.8315018315018315E-3</v>
      </c>
      <c r="I268" s="9">
        <f>(1+Table_dat150_[[#This Row],[gt]])^4 -1</f>
        <v>-7.3059054953538149E-3</v>
      </c>
      <c r="J268" s="9">
        <f>$V$18+$V$19*Table_dat150_[[#This Row],[DecDate]]</f>
        <v>1031.1456645021699</v>
      </c>
      <c r="K268" s="9">
        <f>$V$37+$V$38*Table_dat150_[[#This Row],[DecDate]]+$V$39*Table_dat150_[[#This Row],[DecDate2]]</f>
        <v>1042.7873402090481</v>
      </c>
      <c r="L268" s="9">
        <f>$AF$18+$AF$19*Table_dat150_[[#This Row],[DecDate]]</f>
        <v>6.9460956251340162</v>
      </c>
      <c r="M268" s="9">
        <f>$AF$37+$AF$38*Table_dat150_[[#This Row],[DecDate]]+$AF$39*Table_dat150_[[#This Row],[DecDate2]]</f>
        <v>6.9495078423035004</v>
      </c>
      <c r="N268" s="9">
        <f>Table_dat150_[[#This Row],[LogExpenditure]]-Table_dat150_[[#This Row],[Log Quadratic Trend]]</f>
        <v>4.442513291968897E-2</v>
      </c>
      <c r="O268" s="9">
        <f t="shared" si="9"/>
        <v>1.5036338930914717E-2</v>
      </c>
      <c r="P268" s="9">
        <f>Table_dat150_[[#This Row],[Log Quadratic Trend]]+Table_dat150_[[#This Row],[Cycle]]</f>
        <v>6.9645441812344151</v>
      </c>
      <c r="Q268" s="9">
        <f>Table_dat150_[[#This Row],[LogExpenditure]]-Table_dat150_[[#This Row],[Log Quadratic Trend]]-Table_dat150_[[#This Row],[Cycle]]</f>
        <v>2.9388793988774253E-2</v>
      </c>
      <c r="R268" s="9">
        <f>AVERAGEIF(Table_dat150_[Quarter], B268, Table_dat150_[High Frequency])</f>
        <v>3.7456808917954526E-2</v>
      </c>
      <c r="S268" s="9">
        <f>Table_dat150_[[#This Row],[S0]]-AVERAGE($R$6:$R$9)</f>
        <v>3.7550349586397608E-2</v>
      </c>
    </row>
    <row r="269" spans="1:19" x14ac:dyDescent="0.3">
      <c r="A269">
        <v>2016</v>
      </c>
      <c r="B269">
        <v>4</v>
      </c>
      <c r="C269" s="1">
        <f>DATE(Table_dat150_[[#This Row],[Year]],(Table_dat150_[[#This Row],[Quarter]]-1)*3+2,15)</f>
        <v>42689</v>
      </c>
      <c r="D269">
        <f>Table_dat150_[[#This Row],[Year]]+1/8+(Table_dat150_[[#This Row],[Quarter]]-1)/4</f>
        <v>2016.875</v>
      </c>
      <c r="E269">
        <f>Table_dat150_[[#This Row],[DecDate]]^2</f>
        <v>4067784.765625</v>
      </c>
      <c r="F269">
        <v>1070</v>
      </c>
      <c r="G269" s="8">
        <f>LN(Table_dat150_[[#This Row],[Expenditure]])</f>
        <v>6.9754139274559517</v>
      </c>
      <c r="H269" s="9">
        <f t="shared" si="8"/>
        <v>-1.834862385321101E-2</v>
      </c>
      <c r="I269" s="9">
        <f>(1+Table_dat150_[[#This Row],[gt]])^4 -1</f>
        <v>-7.1399059952332533E-2</v>
      </c>
      <c r="J269" s="9">
        <f>$V$18+$V$19*Table_dat150_[[#This Row],[DecDate]]</f>
        <v>1032.4513200459951</v>
      </c>
      <c r="K269" s="9">
        <f>$V$37+$V$38*Table_dat150_[[#This Row],[DecDate]]+$V$39*Table_dat150_[[#This Row],[DecDate2]]</f>
        <v>1044.4245163049345</v>
      </c>
      <c r="L269" s="9">
        <f>$AF$18+$AF$19*Table_dat150_[[#This Row],[DecDate]]</f>
        <v>6.9476016538847913</v>
      </c>
      <c r="M269" s="9">
        <f>$AF$37+$AF$38*Table_dat150_[[#This Row],[DecDate]]+$AF$39*Table_dat150_[[#This Row],[DecDate2]]</f>
        <v>6.9511110409246939</v>
      </c>
      <c r="N269" s="9">
        <f>Table_dat150_[[#This Row],[LogExpenditure]]-Table_dat150_[[#This Row],[Log Quadratic Trend]]</f>
        <v>2.4302886531257784E-2</v>
      </c>
      <c r="O269" s="9">
        <f t="shared" si="9"/>
        <v>2.2431846476185058E-2</v>
      </c>
      <c r="P269" s="9">
        <f>Table_dat150_[[#This Row],[Log Quadratic Trend]]+Table_dat150_[[#This Row],[Cycle]]</f>
        <v>6.9735428874008791</v>
      </c>
      <c r="Q269" s="9">
        <f>Table_dat150_[[#This Row],[LogExpenditure]]-Table_dat150_[[#This Row],[Log Quadratic Trend]]-Table_dat150_[[#This Row],[Cycle]]</f>
        <v>1.8710400550727251E-3</v>
      </c>
      <c r="R269" s="9">
        <f>AVERAGEIF(Table_dat150_[Quarter], B269, Table_dat150_[High Frequency])</f>
        <v>-2.8472086212635514E-2</v>
      </c>
      <c r="S269" s="9">
        <f>Table_dat150_[[#This Row],[S0]]-AVERAGE($R$6:$R$9)</f>
        <v>-2.8378545544192432E-2</v>
      </c>
    </row>
    <row r="270" spans="1:19" x14ac:dyDescent="0.3">
      <c r="A270">
        <v>2017</v>
      </c>
      <c r="B270">
        <v>1</v>
      </c>
      <c r="C270" s="1">
        <f>DATE(Table_dat150_[[#This Row],[Year]],(Table_dat150_[[#This Row],[Quarter]]-1)*3+2,15)</f>
        <v>42781</v>
      </c>
      <c r="D270">
        <f>Table_dat150_[[#This Row],[Year]]+1/8+(Table_dat150_[[#This Row],[Quarter]]-1)/4</f>
        <v>2017.125</v>
      </c>
      <c r="E270">
        <f>Table_dat150_[[#This Row],[DecDate]]^2</f>
        <v>4068793.265625</v>
      </c>
      <c r="F270">
        <v>1000</v>
      </c>
      <c r="G270" s="8">
        <f>LN(Table_dat150_[[#This Row],[Expenditure]])</f>
        <v>6.9077552789821368</v>
      </c>
      <c r="H270" s="9">
        <f t="shared" si="8"/>
        <v>-6.5420560747663545E-2</v>
      </c>
      <c r="I270" s="9">
        <f>(1+Table_dat150_[[#This Row],[gt]])^4 -1</f>
        <v>-0.23710478795247469</v>
      </c>
      <c r="J270" s="9">
        <f>$V$18+$V$19*Table_dat150_[[#This Row],[DecDate]]</f>
        <v>1033.7569755898221</v>
      </c>
      <c r="K270" s="9">
        <f>$V$37+$V$38*Table_dat150_[[#This Row],[DecDate]]+$V$39*Table_dat150_[[#This Row],[DecDate2]]</f>
        <v>1046.0643445652677</v>
      </c>
      <c r="L270" s="9">
        <f>$AF$18+$AF$19*Table_dat150_[[#This Row],[DecDate]]</f>
        <v>6.9491076826355664</v>
      </c>
      <c r="M270" s="9">
        <f>$AF$37+$AF$38*Table_dat150_[[#This Row],[DecDate]]+$AF$39*Table_dat150_[[#This Row],[DecDate2]]</f>
        <v>6.9527150169048468</v>
      </c>
      <c r="N270" s="9">
        <f>Table_dat150_[[#This Row],[LogExpenditure]]-Table_dat150_[[#This Row],[Log Quadratic Trend]]</f>
        <v>-4.4959737922710019E-2</v>
      </c>
      <c r="O270" s="9">
        <f t="shared" si="9"/>
        <v>1.9725939333836706E-2</v>
      </c>
      <c r="P270" s="9">
        <f>Table_dat150_[[#This Row],[Log Quadratic Trend]]+Table_dat150_[[#This Row],[Cycle]]</f>
        <v>6.9724409562386835</v>
      </c>
      <c r="Q270" s="9">
        <f>Table_dat150_[[#This Row],[LogExpenditure]]-Table_dat150_[[#This Row],[Log Quadratic Trend]]-Table_dat150_[[#This Row],[Cycle]]</f>
        <v>-6.4685677256546725E-2</v>
      </c>
      <c r="R270" s="9">
        <f>AVERAGEIF(Table_dat150_[Quarter], B270, Table_dat150_[High Frequency])</f>
        <v>-4.2281954239907563E-2</v>
      </c>
      <c r="S270" s="9">
        <f>Table_dat150_[[#This Row],[S0]]-AVERAGE($R$6:$R$9)</f>
        <v>-4.2188413571464481E-2</v>
      </c>
    </row>
    <row r="271" spans="1:19" x14ac:dyDescent="0.3">
      <c r="A271">
        <v>2017</v>
      </c>
      <c r="B271">
        <v>2</v>
      </c>
      <c r="C271" s="1">
        <f>DATE(Table_dat150_[[#This Row],[Year]],(Table_dat150_[[#This Row],[Quarter]]-1)*3+2,15)</f>
        <v>42870</v>
      </c>
      <c r="D271">
        <f>Table_dat150_[[#This Row],[Year]]+1/8+(Table_dat150_[[#This Row],[Quarter]]-1)/4</f>
        <v>2017.375</v>
      </c>
      <c r="E271">
        <f>Table_dat150_[[#This Row],[DecDate]]^2</f>
        <v>4069801.890625</v>
      </c>
      <c r="F271">
        <v>1091</v>
      </c>
      <c r="G271" s="8">
        <f>LN(Table_dat150_[[#This Row],[Expenditure]])</f>
        <v>6.9948499858330706</v>
      </c>
      <c r="H271" s="9">
        <f t="shared" si="8"/>
        <v>9.0999999999999998E-2</v>
      </c>
      <c r="I271" s="9">
        <f>(1+Table_dat150_[[#This Row],[gt]])^4 -1</f>
        <v>0.41676885896099991</v>
      </c>
      <c r="J271" s="9">
        <f>$V$18+$V$19*Table_dat150_[[#This Row],[DecDate]]</f>
        <v>1035.0626311336491</v>
      </c>
      <c r="K271" s="9">
        <f>$V$37+$V$38*Table_dat150_[[#This Row],[DecDate]]+$V$39*Table_dat150_[[#This Row],[DecDate2]]</f>
        <v>1047.706824990004</v>
      </c>
      <c r="L271" s="9">
        <f>$AF$18+$AF$19*Table_dat150_[[#This Row],[DecDate]]</f>
        <v>6.9506137113863415</v>
      </c>
      <c r="M271" s="9">
        <f>$AF$37+$AF$38*Table_dat150_[[#This Row],[DecDate]]+$AF$39*Table_dat150_[[#This Row],[DecDate2]]</f>
        <v>6.9543197702439592</v>
      </c>
      <c r="N271" s="9">
        <f>Table_dat150_[[#This Row],[LogExpenditure]]-Table_dat150_[[#This Row],[Log Quadratic Trend]]</f>
        <v>4.0530215589111407E-2</v>
      </c>
      <c r="O271" s="9">
        <f t="shared" si="9"/>
        <v>4.2570701597934857E-3</v>
      </c>
      <c r="P271" s="9">
        <f>Table_dat150_[[#This Row],[Log Quadratic Trend]]+Table_dat150_[[#This Row],[Cycle]]</f>
        <v>6.9585768404037527</v>
      </c>
      <c r="Q271" s="9">
        <f>Table_dat150_[[#This Row],[LogExpenditure]]-Table_dat150_[[#This Row],[Log Quadratic Trend]]-Table_dat150_[[#This Row],[Cycle]]</f>
        <v>3.6273145429317921E-2</v>
      </c>
      <c r="R271" s="9">
        <f>AVERAGEIF(Table_dat150_[Quarter], B271, Table_dat150_[High Frequency])</f>
        <v>3.2923068860816217E-2</v>
      </c>
      <c r="S271" s="9">
        <f>Table_dat150_[[#This Row],[S0]]-AVERAGE($R$6:$R$9)</f>
        <v>3.3016609529259298E-2</v>
      </c>
    </row>
    <row r="272" spans="1:19" x14ac:dyDescent="0.3">
      <c r="A272">
        <v>2017</v>
      </c>
      <c r="B272">
        <v>3</v>
      </c>
      <c r="C272" s="1">
        <f>DATE(Table_dat150_[[#This Row],[Year]],(Table_dat150_[[#This Row],[Quarter]]-1)*3+2,15)</f>
        <v>42962</v>
      </c>
      <c r="D272">
        <f>Table_dat150_[[#This Row],[Year]]+1/8+(Table_dat150_[[#This Row],[Quarter]]-1)/4</f>
        <v>2017.625</v>
      </c>
      <c r="E272">
        <f>Table_dat150_[[#This Row],[DecDate]]^2</f>
        <v>4070810.640625</v>
      </c>
      <c r="F272">
        <v>1086</v>
      </c>
      <c r="G272" s="8">
        <f>LN(Table_dat150_[[#This Row],[Expenditure]])</f>
        <v>6.9902565004938806</v>
      </c>
      <c r="H272" s="9">
        <f t="shared" si="8"/>
        <v>-4.5829514207149404E-3</v>
      </c>
      <c r="I272" s="9">
        <f>(1+Table_dat150_[[#This Row],[gt]])^4 -1</f>
        <v>-1.8206169610416323E-2</v>
      </c>
      <c r="J272" s="9">
        <f>$V$18+$V$19*Table_dat150_[[#This Row],[DecDate]]</f>
        <v>1036.3682866774743</v>
      </c>
      <c r="K272" s="9">
        <f>$V$37+$V$38*Table_dat150_[[#This Row],[DecDate]]+$V$39*Table_dat150_[[#This Row],[DecDate2]]</f>
        <v>1049.3519575791724</v>
      </c>
      <c r="L272" s="9">
        <f>$AF$18+$AF$19*Table_dat150_[[#This Row],[DecDate]]</f>
        <v>6.9521197401371184</v>
      </c>
      <c r="M272" s="9">
        <f>$AF$37+$AF$38*Table_dat150_[[#This Row],[DecDate]]+$AF$39*Table_dat150_[[#This Row],[DecDate2]]</f>
        <v>6.9559253009420452</v>
      </c>
      <c r="N272" s="9">
        <f>Table_dat150_[[#This Row],[LogExpenditure]]-Table_dat150_[[#This Row],[Log Quadratic Trend]]</f>
        <v>3.433119955183539E-2</v>
      </c>
      <c r="O272" s="9">
        <f t="shared" si="9"/>
        <v>-8.2969451797398012E-3</v>
      </c>
      <c r="P272" s="9">
        <f>Table_dat150_[[#This Row],[Log Quadratic Trend]]+Table_dat150_[[#This Row],[Cycle]]</f>
        <v>6.9476283557623058</v>
      </c>
      <c r="Q272" s="9">
        <f>Table_dat150_[[#This Row],[LogExpenditure]]-Table_dat150_[[#This Row],[Log Quadratic Trend]]-Table_dat150_[[#This Row],[Cycle]]</f>
        <v>4.2628144731575189E-2</v>
      </c>
      <c r="R272" s="9">
        <f>AVERAGEIF(Table_dat150_[Quarter], B272, Table_dat150_[High Frequency])</f>
        <v>3.7456808917954526E-2</v>
      </c>
      <c r="S272" s="9">
        <f>Table_dat150_[[#This Row],[S0]]-AVERAGE($R$6:$R$9)</f>
        <v>3.7550349586397608E-2</v>
      </c>
    </row>
    <row r="273" spans="1:19" x14ac:dyDescent="0.3">
      <c r="A273">
        <v>2017</v>
      </c>
      <c r="B273">
        <v>4</v>
      </c>
      <c r="C273" s="1">
        <f>DATE(Table_dat150_[[#This Row],[Year]],(Table_dat150_[[#This Row],[Quarter]]-1)*3+2,15)</f>
        <v>43054</v>
      </c>
      <c r="D273">
        <f>Table_dat150_[[#This Row],[Year]]+1/8+(Table_dat150_[[#This Row],[Quarter]]-1)/4</f>
        <v>2017.875</v>
      </c>
      <c r="E273">
        <f>Table_dat150_[[#This Row],[DecDate]]^2</f>
        <v>4071819.515625</v>
      </c>
      <c r="F273">
        <v>1017</v>
      </c>
      <c r="G273" s="8">
        <f>LN(Table_dat150_[[#This Row],[Expenditure]])</f>
        <v>6.9246123960485599</v>
      </c>
      <c r="H273" s="9">
        <f t="shared" si="8"/>
        <v>-6.3535911602209949E-2</v>
      </c>
      <c r="I273" s="9">
        <f>(1+Table_dat150_[[#This Row],[gt]])^4 -1</f>
        <v>-0.23093240831605333</v>
      </c>
      <c r="J273" s="9">
        <f>$V$18+$V$19*Table_dat150_[[#This Row],[DecDate]]</f>
        <v>1037.6739422213013</v>
      </c>
      <c r="K273" s="9">
        <f>$V$37+$V$38*Table_dat150_[[#This Row],[DecDate]]+$V$39*Table_dat150_[[#This Row],[DecDate2]]</f>
        <v>1050.9997423327441</v>
      </c>
      <c r="L273" s="9">
        <f>$AF$18+$AF$19*Table_dat150_[[#This Row],[DecDate]]</f>
        <v>6.9536257688878935</v>
      </c>
      <c r="M273" s="9">
        <f>$AF$37+$AF$38*Table_dat150_[[#This Row],[DecDate]]+$AF$39*Table_dat150_[[#This Row],[DecDate2]]</f>
        <v>6.9575316089990871</v>
      </c>
      <c r="N273" s="9">
        <f>Table_dat150_[[#This Row],[LogExpenditure]]-Table_dat150_[[#This Row],[Log Quadratic Trend]]</f>
        <v>-3.2919212950527132E-2</v>
      </c>
      <c r="O273" s="9">
        <f t="shared" si="9"/>
        <v>2.3157666351798058E-3</v>
      </c>
      <c r="P273" s="9">
        <f>Table_dat150_[[#This Row],[Log Quadratic Trend]]+Table_dat150_[[#This Row],[Cycle]]</f>
        <v>6.9598473756342667</v>
      </c>
      <c r="Q273" s="9">
        <f>Table_dat150_[[#This Row],[LogExpenditure]]-Table_dat150_[[#This Row],[Log Quadratic Trend]]-Table_dat150_[[#This Row],[Cycle]]</f>
        <v>-3.5234979585706941E-2</v>
      </c>
      <c r="R273" s="9">
        <f>AVERAGEIF(Table_dat150_[Quarter], B273, Table_dat150_[High Frequency])</f>
        <v>-2.8472086212635514E-2</v>
      </c>
      <c r="S273" s="9">
        <f>Table_dat150_[[#This Row],[S0]]-AVERAGE($R$6:$R$9)</f>
        <v>-2.8378545544192432E-2</v>
      </c>
    </row>
    <row r="274" spans="1:19" x14ac:dyDescent="0.3">
      <c r="A274">
        <v>2018</v>
      </c>
      <c r="B274">
        <v>1</v>
      </c>
      <c r="C274" s="1">
        <f>DATE(Table_dat150_[[#This Row],[Year]],(Table_dat150_[[#This Row],[Quarter]]-1)*3+2,15)</f>
        <v>43146</v>
      </c>
      <c r="D274">
        <f>Table_dat150_[[#This Row],[Year]]+1/8+(Table_dat150_[[#This Row],[Quarter]]-1)/4</f>
        <v>2018.125</v>
      </c>
      <c r="E274">
        <f>Table_dat150_[[#This Row],[DecDate]]^2</f>
        <v>4072828.515625</v>
      </c>
      <c r="F274">
        <v>1013</v>
      </c>
      <c r="G274" s="8">
        <f>LN(Table_dat150_[[#This Row],[Expenditure]])</f>
        <v>6.9206715042486833</v>
      </c>
      <c r="H274" s="9">
        <f t="shared" si="8"/>
        <v>-3.9331366764995086E-3</v>
      </c>
      <c r="I274" s="9">
        <f>(1+Table_dat150_[[#This Row],[gt]])^4 -1</f>
        <v>-1.5639972457634488E-2</v>
      </c>
      <c r="J274" s="9">
        <f>$V$18+$V$19*Table_dat150_[[#This Row],[DecDate]]</f>
        <v>1038.9795977651283</v>
      </c>
      <c r="K274" s="9">
        <f>$V$37+$V$38*Table_dat150_[[#This Row],[DecDate]]+$V$39*Table_dat150_[[#This Row],[DecDate2]]</f>
        <v>1052.6501792507479</v>
      </c>
      <c r="L274" s="9">
        <f>$AF$18+$AF$19*Table_dat150_[[#This Row],[DecDate]]</f>
        <v>6.9551317976386686</v>
      </c>
      <c r="M274" s="9">
        <f>$AF$37+$AF$38*Table_dat150_[[#This Row],[DecDate]]+$AF$39*Table_dat150_[[#This Row],[DecDate2]]</f>
        <v>6.9591386944150919</v>
      </c>
      <c r="N274" s="9">
        <f>Table_dat150_[[#This Row],[LogExpenditure]]-Table_dat150_[[#This Row],[Log Quadratic Trend]]</f>
        <v>-3.8467190166408649E-2</v>
      </c>
      <c r="O274" s="9">
        <f t="shared" si="9"/>
        <v>-5.7867954752364168E-4</v>
      </c>
      <c r="P274" s="9">
        <f>Table_dat150_[[#This Row],[Log Quadratic Trend]]+Table_dat150_[[#This Row],[Cycle]]</f>
        <v>6.9585600148675679</v>
      </c>
      <c r="Q274" s="9">
        <f>Table_dat150_[[#This Row],[LogExpenditure]]-Table_dat150_[[#This Row],[Log Quadratic Trend]]-Table_dat150_[[#This Row],[Cycle]]</f>
        <v>-3.7888510618885006E-2</v>
      </c>
      <c r="R274" s="9">
        <f>AVERAGEIF(Table_dat150_[Quarter], B274, Table_dat150_[High Frequency])</f>
        <v>-4.2281954239907563E-2</v>
      </c>
      <c r="S274" s="9">
        <f>Table_dat150_[[#This Row],[S0]]-AVERAGE($R$6:$R$9)</f>
        <v>-4.2188413571464481E-2</v>
      </c>
    </row>
    <row r="275" spans="1:19" x14ac:dyDescent="0.3">
      <c r="A275">
        <v>2018</v>
      </c>
      <c r="B275">
        <v>2</v>
      </c>
      <c r="C275" s="1">
        <f>DATE(Table_dat150_[[#This Row],[Year]],(Table_dat150_[[#This Row],[Quarter]]-1)*3+2,15)</f>
        <v>43235</v>
      </c>
      <c r="D275">
        <f>Table_dat150_[[#This Row],[Year]]+1/8+(Table_dat150_[[#This Row],[Quarter]]-1)/4</f>
        <v>2018.375</v>
      </c>
      <c r="E275">
        <f>Table_dat150_[[#This Row],[DecDate]]^2</f>
        <v>4073837.640625</v>
      </c>
      <c r="F275">
        <v>1063</v>
      </c>
      <c r="G275" s="8">
        <f>LN(Table_dat150_[[#This Row],[Expenditure]])</f>
        <v>6.9688503783419478</v>
      </c>
      <c r="H275" s="9">
        <f t="shared" si="8"/>
        <v>4.9358341559723594E-2</v>
      </c>
      <c r="I275" s="9">
        <f>(1+Table_dat150_[[#This Row],[gt]])^4 -1</f>
        <v>0.21253777304742316</v>
      </c>
      <c r="J275" s="9">
        <f>$V$18+$V$19*Table_dat150_[[#This Row],[DecDate]]</f>
        <v>1040.2852533089535</v>
      </c>
      <c r="K275" s="9">
        <f>$V$37+$V$38*Table_dat150_[[#This Row],[DecDate]]+$V$39*Table_dat150_[[#This Row],[DecDate2]]</f>
        <v>1054.3032683331257</v>
      </c>
      <c r="L275" s="9">
        <f>$AF$18+$AF$19*Table_dat150_[[#This Row],[DecDate]]</f>
        <v>6.9566378263894437</v>
      </c>
      <c r="M275" s="9">
        <f>$AF$37+$AF$38*Table_dat150_[[#This Row],[DecDate]]+$AF$39*Table_dat150_[[#This Row],[DecDate2]]</f>
        <v>6.9607465571900597</v>
      </c>
      <c r="N275" s="9">
        <f>Table_dat150_[[#This Row],[LogExpenditure]]-Table_dat150_[[#This Row],[Log Quadratic Trend]]</f>
        <v>8.1038211518880132E-3</v>
      </c>
      <c r="O275" s="9">
        <f t="shared" si="9"/>
        <v>-1.5906205591043231E-2</v>
      </c>
      <c r="P275" s="9">
        <f>Table_dat150_[[#This Row],[Log Quadratic Trend]]+Table_dat150_[[#This Row],[Cycle]]</f>
        <v>6.9448403515990167</v>
      </c>
      <c r="Q275" s="9">
        <f>Table_dat150_[[#This Row],[LogExpenditure]]-Table_dat150_[[#This Row],[Log Quadratic Trend]]-Table_dat150_[[#This Row],[Cycle]]</f>
        <v>2.4010026742931245E-2</v>
      </c>
      <c r="R275" s="9">
        <f>AVERAGEIF(Table_dat150_[Quarter], B275, Table_dat150_[High Frequency])</f>
        <v>3.2923068860816217E-2</v>
      </c>
      <c r="S275" s="9">
        <f>Table_dat150_[[#This Row],[S0]]-AVERAGE($R$6:$R$9)</f>
        <v>3.3016609529259298E-2</v>
      </c>
    </row>
    <row r="276" spans="1:19" x14ac:dyDescent="0.3">
      <c r="A276">
        <v>2018</v>
      </c>
      <c r="B276">
        <v>3</v>
      </c>
      <c r="C276" s="1">
        <f>DATE(Table_dat150_[[#This Row],[Year]],(Table_dat150_[[#This Row],[Quarter]]-1)*3+2,15)</f>
        <v>43327</v>
      </c>
      <c r="D276">
        <f>Table_dat150_[[#This Row],[Year]]+1/8+(Table_dat150_[[#This Row],[Quarter]]-1)/4</f>
        <v>2018.625</v>
      </c>
      <c r="E276">
        <f>Table_dat150_[[#This Row],[DecDate]]^2</f>
        <v>4074846.890625</v>
      </c>
      <c r="F276">
        <v>1084</v>
      </c>
      <c r="G276" s="8">
        <f>LN(Table_dat150_[[#This Row],[Expenditure]])</f>
        <v>6.9884131819995918</v>
      </c>
      <c r="H276" s="9">
        <f t="shared" si="8"/>
        <v>1.9755409219190969E-2</v>
      </c>
      <c r="I276" s="9">
        <f>(1+Table_dat150_[[#This Row],[gt]])^4 -1</f>
        <v>8.1394286616415235E-2</v>
      </c>
      <c r="J276" s="9">
        <f>$V$18+$V$19*Table_dat150_[[#This Row],[DecDate]]</f>
        <v>1041.5909088527806</v>
      </c>
      <c r="K276" s="9">
        <f>$V$37+$V$38*Table_dat150_[[#This Row],[DecDate]]+$V$39*Table_dat150_[[#This Row],[DecDate2]]</f>
        <v>1055.9590095799504</v>
      </c>
      <c r="L276" s="9">
        <f>$AF$18+$AF$19*Table_dat150_[[#This Row],[DecDate]]</f>
        <v>6.9581438551402188</v>
      </c>
      <c r="M276" s="9">
        <f>$AF$37+$AF$38*Table_dat150_[[#This Row],[DecDate]]+$AF$39*Table_dat150_[[#This Row],[DecDate2]]</f>
        <v>6.9623551973239977</v>
      </c>
      <c r="N276" s="9">
        <f>Table_dat150_[[#This Row],[LogExpenditure]]-Table_dat150_[[#This Row],[Log Quadratic Trend]]</f>
        <v>2.605798467559417E-2</v>
      </c>
      <c r="O276" s="9">
        <f t="shared" si="9"/>
        <v>-2.1487170942319798E-2</v>
      </c>
      <c r="P276" s="9">
        <f>Table_dat150_[[#This Row],[Log Quadratic Trend]]+Table_dat150_[[#This Row],[Cycle]]</f>
        <v>6.9408680263816782</v>
      </c>
      <c r="Q276" s="9">
        <f>Table_dat150_[[#This Row],[LogExpenditure]]-Table_dat150_[[#This Row],[Log Quadratic Trend]]-Table_dat150_[[#This Row],[Cycle]]</f>
        <v>4.7545155617913969E-2</v>
      </c>
      <c r="R276" s="9">
        <f>AVERAGEIF(Table_dat150_[Quarter], B276, Table_dat150_[High Frequency])</f>
        <v>3.7456808917954526E-2</v>
      </c>
      <c r="S276" s="9">
        <f>Table_dat150_[[#This Row],[S0]]-AVERAGE($R$6:$R$9)</f>
        <v>3.7550349586397608E-2</v>
      </c>
    </row>
    <row r="277" spans="1:19" x14ac:dyDescent="0.3">
      <c r="A277">
        <v>2018</v>
      </c>
      <c r="B277">
        <v>4</v>
      </c>
      <c r="C277" s="1">
        <f>DATE(Table_dat150_[[#This Row],[Year]],(Table_dat150_[[#This Row],[Quarter]]-1)*3+2,15)</f>
        <v>43419</v>
      </c>
      <c r="D277">
        <f>Table_dat150_[[#This Row],[Year]]+1/8+(Table_dat150_[[#This Row],[Quarter]]-1)/4</f>
        <v>2018.875</v>
      </c>
      <c r="E277">
        <f>Table_dat150_[[#This Row],[DecDate]]^2</f>
        <v>4075856.265625</v>
      </c>
      <c r="F277">
        <v>1014</v>
      </c>
      <c r="G277" s="8">
        <f>LN(Table_dat150_[[#This Row],[Expenditure]])</f>
        <v>6.9216581841511289</v>
      </c>
      <c r="H277" s="9">
        <f t="shared" si="8"/>
        <v>-6.4575645756457564E-2</v>
      </c>
      <c r="I277" s="9">
        <f>(1+Table_dat150_[[#This Row],[gt]])^4 -1</f>
        <v>-0.23434223525355791</v>
      </c>
      <c r="J277" s="9">
        <f>$V$18+$V$19*Table_dat150_[[#This Row],[DecDate]]</f>
        <v>1042.8965643966076</v>
      </c>
      <c r="K277" s="9">
        <f>$V$37+$V$38*Table_dat150_[[#This Row],[DecDate]]+$V$39*Table_dat150_[[#This Row],[DecDate2]]</f>
        <v>1057.6174029911926</v>
      </c>
      <c r="L277" s="9">
        <f>$AF$18+$AF$19*Table_dat150_[[#This Row],[DecDate]]</f>
        <v>6.9596498838909939</v>
      </c>
      <c r="M277" s="9">
        <f>$AF$37+$AF$38*Table_dat150_[[#This Row],[DecDate]]+$AF$39*Table_dat150_[[#This Row],[DecDate2]]</f>
        <v>6.9639646148168914</v>
      </c>
      <c r="N277" s="9">
        <f>Table_dat150_[[#This Row],[LogExpenditure]]-Table_dat150_[[#This Row],[Log Quadratic Trend]]</f>
        <v>-4.2306430665762562E-2</v>
      </c>
      <c r="O277" s="9">
        <f t="shared" si="9"/>
        <v>-7.1639972299077925E-3</v>
      </c>
      <c r="P277" s="9">
        <f>Table_dat150_[[#This Row],[Log Quadratic Trend]]+Table_dat150_[[#This Row],[Cycle]]</f>
        <v>6.9568006175869836</v>
      </c>
      <c r="Q277" s="9">
        <f>Table_dat150_[[#This Row],[LogExpenditure]]-Table_dat150_[[#This Row],[Log Quadratic Trend]]-Table_dat150_[[#This Row],[Cycle]]</f>
        <v>-3.514243343585477E-2</v>
      </c>
      <c r="R277" s="9">
        <f>AVERAGEIF(Table_dat150_[Quarter], B277, Table_dat150_[High Frequency])</f>
        <v>-2.8472086212635514E-2</v>
      </c>
      <c r="S277" s="9">
        <f>Table_dat150_[[#This Row],[S0]]-AVERAGE($R$6:$R$9)</f>
        <v>-2.8378545544192432E-2</v>
      </c>
    </row>
    <row r="278" spans="1:19" x14ac:dyDescent="0.3">
      <c r="A278">
        <v>2019</v>
      </c>
      <c r="B278">
        <v>1</v>
      </c>
      <c r="C278" s="1">
        <f>DATE(Table_dat150_[[#This Row],[Year]],(Table_dat150_[[#This Row],[Quarter]]-1)*3+2,15)</f>
        <v>43511</v>
      </c>
      <c r="D278">
        <f>Table_dat150_[[#This Row],[Year]]+1/8+(Table_dat150_[[#This Row],[Quarter]]-1)/4</f>
        <v>2019.125</v>
      </c>
      <c r="E278">
        <f>Table_dat150_[[#This Row],[DecDate]]^2</f>
        <v>4076865.765625</v>
      </c>
      <c r="F278">
        <v>997</v>
      </c>
      <c r="G278" s="8">
        <f>LN(Table_dat150_[[#This Row],[Expenditure]])</f>
        <v>6.9047507699618382</v>
      </c>
      <c r="H278" s="9">
        <f t="shared" si="8"/>
        <v>-1.6765285996055226E-2</v>
      </c>
      <c r="I278" s="9">
        <f>(1+Table_dat150_[[#This Row],[gt]])^4 -1</f>
        <v>-6.5393465292599706E-2</v>
      </c>
      <c r="J278" s="9">
        <f>$V$18+$V$19*Table_dat150_[[#This Row],[DecDate]]</f>
        <v>1044.2022199404346</v>
      </c>
      <c r="K278" s="9">
        <f>$V$37+$V$38*Table_dat150_[[#This Row],[DecDate]]+$V$39*Table_dat150_[[#This Row],[DecDate2]]</f>
        <v>1059.2784485668526</v>
      </c>
      <c r="L278" s="9">
        <f>$AF$18+$AF$19*Table_dat150_[[#This Row],[DecDate]]</f>
        <v>6.9611559126417708</v>
      </c>
      <c r="M278" s="9">
        <f>$AF$37+$AF$38*Table_dat150_[[#This Row],[DecDate]]+$AF$39*Table_dat150_[[#This Row],[DecDate2]]</f>
        <v>6.9655748096687482</v>
      </c>
      <c r="N278" s="9">
        <f>Table_dat150_[[#This Row],[LogExpenditure]]-Table_dat150_[[#This Row],[Log Quadratic Trend]]</f>
        <v>-6.0824039706909971E-2</v>
      </c>
      <c r="O278" s="9">
        <f t="shared" si="9"/>
        <v>-1.5678698075857866E-3</v>
      </c>
      <c r="P278" s="9">
        <f>Table_dat150_[[#This Row],[Log Quadratic Trend]]+Table_dat150_[[#This Row],[Cycle]]</f>
        <v>6.9640069398611626</v>
      </c>
      <c r="Q278" s="9">
        <f>Table_dat150_[[#This Row],[LogExpenditure]]-Table_dat150_[[#This Row],[Log Quadratic Trend]]-Table_dat150_[[#This Row],[Cycle]]</f>
        <v>-5.9256169899324182E-2</v>
      </c>
      <c r="R278" s="9">
        <f>AVERAGEIF(Table_dat150_[Quarter], B278, Table_dat150_[High Frequency])</f>
        <v>-4.2281954239907563E-2</v>
      </c>
      <c r="S278" s="9">
        <f>Table_dat150_[[#This Row],[S0]]-AVERAGE($R$6:$R$9)</f>
        <v>-4.2188413571464481E-2</v>
      </c>
    </row>
    <row r="279" spans="1:19" x14ac:dyDescent="0.3">
      <c r="A279">
        <v>2019</v>
      </c>
      <c r="B279">
        <v>2</v>
      </c>
      <c r="C279" s="1">
        <f>DATE(Table_dat150_[[#This Row],[Year]],(Table_dat150_[[#This Row],[Quarter]]-1)*3+2,15)</f>
        <v>43600</v>
      </c>
      <c r="D279">
        <f>Table_dat150_[[#This Row],[Year]]+1/8+(Table_dat150_[[#This Row],[Quarter]]-1)/4</f>
        <v>2019.375</v>
      </c>
      <c r="E279">
        <f>Table_dat150_[[#This Row],[DecDate]]^2</f>
        <v>4077875.390625</v>
      </c>
      <c r="F279">
        <v>1097</v>
      </c>
      <c r="G279" s="8">
        <f>LN(Table_dat150_[[#This Row],[Expenditure]])</f>
        <v>7.00033446027523</v>
      </c>
      <c r="H279" s="9">
        <f t="shared" si="8"/>
        <v>0.10030090270812438</v>
      </c>
      <c r="I279" s="9">
        <f>(1+Table_dat150_[[#This Row],[gt]])^4 -1</f>
        <v>0.4657026634760506</v>
      </c>
      <c r="J279" s="9">
        <f>$V$18+$V$19*Table_dat150_[[#This Row],[DecDate]]</f>
        <v>1045.5078754842598</v>
      </c>
      <c r="K279" s="9">
        <f>$V$37+$V$38*Table_dat150_[[#This Row],[DecDate]]+$V$39*Table_dat150_[[#This Row],[DecDate2]]</f>
        <v>1060.9421463069302</v>
      </c>
      <c r="L279" s="9">
        <f>$AF$18+$AF$19*Table_dat150_[[#This Row],[DecDate]]</f>
        <v>6.9626619413925459</v>
      </c>
      <c r="M279" s="9">
        <f>$AF$37+$AF$38*Table_dat150_[[#This Row],[DecDate]]+$AF$39*Table_dat150_[[#This Row],[DecDate2]]</f>
        <v>6.9671857818795786</v>
      </c>
      <c r="N279" s="9">
        <f>Table_dat150_[[#This Row],[LogExpenditure]]-Table_dat150_[[#This Row],[Log Quadratic Trend]]</f>
        <v>3.3148678395651388E-2</v>
      </c>
      <c r="O279" s="9">
        <f t="shared" si="9"/>
        <v>-1.5742438996233156E-2</v>
      </c>
      <c r="P279" s="9">
        <f>Table_dat150_[[#This Row],[Log Quadratic Trend]]+Table_dat150_[[#This Row],[Cycle]]</f>
        <v>6.9514433428833451</v>
      </c>
      <c r="Q279" s="9">
        <f>Table_dat150_[[#This Row],[LogExpenditure]]-Table_dat150_[[#This Row],[Log Quadratic Trend]]-Table_dat150_[[#This Row],[Cycle]]</f>
        <v>4.8891117391884543E-2</v>
      </c>
      <c r="R279" s="9">
        <f>AVERAGEIF(Table_dat150_[Quarter], B279, Table_dat150_[High Frequency])</f>
        <v>3.2923068860816217E-2</v>
      </c>
      <c r="S279" s="9">
        <f>Table_dat150_[[#This Row],[S0]]-AVERAGE($R$6:$R$9)</f>
        <v>3.3016609529259298E-2</v>
      </c>
    </row>
    <row r="280" spans="1:19" x14ac:dyDescent="0.3">
      <c r="A280">
        <v>2019</v>
      </c>
      <c r="B280">
        <v>3</v>
      </c>
      <c r="C280" s="1">
        <f>DATE(Table_dat150_[[#This Row],[Year]],(Table_dat150_[[#This Row],[Quarter]]-1)*3+2,15)</f>
        <v>43692</v>
      </c>
      <c r="D280">
        <f>Table_dat150_[[#This Row],[Year]]+1/8+(Table_dat150_[[#This Row],[Quarter]]-1)/4</f>
        <v>2019.625</v>
      </c>
      <c r="E280">
        <f>Table_dat150_[[#This Row],[DecDate]]^2</f>
        <v>4078885.140625</v>
      </c>
      <c r="F280">
        <v>1102</v>
      </c>
      <c r="G280" s="8">
        <f>LN(Table_dat150_[[#This Row],[Expenditure]])</f>
        <v>7.0048819897128594</v>
      </c>
      <c r="H280" s="9">
        <f t="shared" si="8"/>
        <v>4.5578851412944391E-3</v>
      </c>
      <c r="I280" s="9">
        <f>(1+Table_dat150_[[#This Row],[gt]])^4 -1</f>
        <v>1.8356565646319378E-2</v>
      </c>
      <c r="J280" s="9">
        <f>$V$18+$V$19*Table_dat150_[[#This Row],[DecDate]]</f>
        <v>1046.8135310280868</v>
      </c>
      <c r="K280" s="9">
        <f>$V$37+$V$38*Table_dat150_[[#This Row],[DecDate]]+$V$39*Table_dat150_[[#This Row],[DecDate2]]</f>
        <v>1062.6084962114255</v>
      </c>
      <c r="L280" s="9">
        <f>$AF$18+$AF$19*Table_dat150_[[#This Row],[DecDate]]</f>
        <v>6.964167970143321</v>
      </c>
      <c r="M280" s="9">
        <f>$AF$37+$AF$38*Table_dat150_[[#This Row],[DecDate]]+$AF$39*Table_dat150_[[#This Row],[DecDate2]]</f>
        <v>6.9687975314493613</v>
      </c>
      <c r="N280" s="9">
        <f>Table_dat150_[[#This Row],[LogExpenditure]]-Table_dat150_[[#This Row],[Log Quadratic Trend]]</f>
        <v>3.6084458263498043E-2</v>
      </c>
      <c r="O280" s="9">
        <f t="shared" si="9"/>
        <v>-1.6763346186533922E-2</v>
      </c>
      <c r="P280" s="9">
        <f>Table_dat150_[[#This Row],[Log Quadratic Trend]]+Table_dat150_[[#This Row],[Cycle]]</f>
        <v>6.9520341852628276</v>
      </c>
      <c r="Q280" s="9">
        <f>Table_dat150_[[#This Row],[LogExpenditure]]-Table_dat150_[[#This Row],[Log Quadratic Trend]]-Table_dat150_[[#This Row],[Cycle]]</f>
        <v>5.2847804450031968E-2</v>
      </c>
      <c r="R280" s="9">
        <f>AVERAGEIF(Table_dat150_[Quarter], B280, Table_dat150_[High Frequency])</f>
        <v>3.7456808917954526E-2</v>
      </c>
      <c r="S280" s="9">
        <f>Table_dat150_[[#This Row],[S0]]-AVERAGE($R$6:$R$9)</f>
        <v>3.7550349586397608E-2</v>
      </c>
    </row>
    <row r="281" spans="1:19" x14ac:dyDescent="0.3">
      <c r="A281">
        <v>2019</v>
      </c>
      <c r="B281">
        <v>4</v>
      </c>
      <c r="C281" s="1">
        <f>DATE(Table_dat150_[[#This Row],[Year]],(Table_dat150_[[#This Row],[Quarter]]-1)*3+2,15)</f>
        <v>43784</v>
      </c>
      <c r="D281">
        <f>Table_dat150_[[#This Row],[Year]]+1/8+(Table_dat150_[[#This Row],[Quarter]]-1)/4</f>
        <v>2019.875</v>
      </c>
      <c r="E281">
        <f>Table_dat150_[[#This Row],[DecDate]]^2</f>
        <v>4079895.015625</v>
      </c>
      <c r="F281">
        <v>1018</v>
      </c>
      <c r="G281" s="8">
        <f>LN(Table_dat150_[[#This Row],[Expenditure]])</f>
        <v>6.9255951971104679</v>
      </c>
      <c r="H281" s="9">
        <f t="shared" si="8"/>
        <v>-7.6225045372050812E-2</v>
      </c>
      <c r="I281" s="9">
        <f>(1+Table_dat150_[[#This Row],[gt]])^4 -1</f>
        <v>-0.2717764257227121</v>
      </c>
      <c r="J281" s="9">
        <f>$V$18+$V$19*Table_dat150_[[#This Row],[DecDate]]</f>
        <v>1048.1191865719138</v>
      </c>
      <c r="K281" s="9">
        <f>$V$37+$V$38*Table_dat150_[[#This Row],[DecDate]]+$V$39*Table_dat150_[[#This Row],[DecDate2]]</f>
        <v>1064.2774982803385</v>
      </c>
      <c r="L281" s="9">
        <f>$AF$18+$AF$19*Table_dat150_[[#This Row],[DecDate]]</f>
        <v>6.9656739988940961</v>
      </c>
      <c r="M281" s="9">
        <f>$AF$37+$AF$38*Table_dat150_[[#This Row],[DecDate]]+$AF$39*Table_dat150_[[#This Row],[DecDate2]]</f>
        <v>6.9704100583781106</v>
      </c>
      <c r="N281" s="9">
        <f>Table_dat150_[[#This Row],[LogExpenditure]]-Table_dat150_[[#This Row],[Log Quadratic Trend]]</f>
        <v>-4.4814861267642669E-2</v>
      </c>
      <c r="O281" s="9">
        <f t="shared" si="9"/>
        <v>-4.43024490264321E-3</v>
      </c>
      <c r="P281" s="9">
        <f>Table_dat150_[[#This Row],[Log Quadratic Trend]]+Table_dat150_[[#This Row],[Cycle]]</f>
        <v>6.9659798134754674</v>
      </c>
      <c r="Q281" s="9">
        <f>Table_dat150_[[#This Row],[LogExpenditure]]-Table_dat150_[[#This Row],[Log Quadratic Trend]]-Table_dat150_[[#This Row],[Cycle]]</f>
        <v>-4.0384616364999459E-2</v>
      </c>
      <c r="R281" s="9">
        <f>AVERAGEIF(Table_dat150_[Quarter], B281, Table_dat150_[High Frequency])</f>
        <v>-2.8472086212635514E-2</v>
      </c>
      <c r="S281" s="9">
        <f>Table_dat150_[[#This Row],[S0]]-AVERAGE($R$6:$R$9)</f>
        <v>-2.8378545544192432E-2</v>
      </c>
    </row>
    <row r="282" spans="1:19" x14ac:dyDescent="0.3">
      <c r="A282">
        <v>2020</v>
      </c>
      <c r="B282">
        <v>1</v>
      </c>
      <c r="C282" s="1">
        <f>DATE(Table_dat150_[[#This Row],[Year]],(Table_dat150_[[#This Row],[Quarter]]-1)*3+2,15)</f>
        <v>43876</v>
      </c>
      <c r="D282">
        <f>Table_dat150_[[#This Row],[Year]]+1/8+(Table_dat150_[[#This Row],[Quarter]]-1)/4</f>
        <v>2020.125</v>
      </c>
      <c r="E282">
        <f>Table_dat150_[[#This Row],[DecDate]]^2</f>
        <v>4080905.015625</v>
      </c>
      <c r="F282">
        <v>1017</v>
      </c>
      <c r="G282" s="8">
        <f>LN(Table_dat150_[[#This Row],[Expenditure]])</f>
        <v>6.9246123960485599</v>
      </c>
      <c r="H282" s="9">
        <f t="shared" si="8"/>
        <v>-9.8231827111984276E-4</v>
      </c>
      <c r="I282" s="9">
        <f>(1+Table_dat150_[[#This Row],[gt]])^4 -1</f>
        <v>-3.9234871799823656E-3</v>
      </c>
      <c r="J282" s="9">
        <f>$V$18+$V$19*Table_dat150_[[#This Row],[DecDate]]</f>
        <v>1049.424842115739</v>
      </c>
      <c r="K282" s="9">
        <f>$V$37+$V$38*Table_dat150_[[#This Row],[DecDate]]+$V$39*Table_dat150_[[#This Row],[DecDate2]]</f>
        <v>1065.94915251364</v>
      </c>
      <c r="L282" s="9">
        <f>$AF$18+$AF$19*Table_dat150_[[#This Row],[DecDate]]</f>
        <v>6.9671800276448712</v>
      </c>
      <c r="M282" s="9">
        <f>$AF$37+$AF$38*Table_dat150_[[#This Row],[DecDate]]+$AF$39*Table_dat150_[[#This Row],[DecDate2]]</f>
        <v>6.9720233626658263</v>
      </c>
      <c r="N282" s="9">
        <f>Table_dat150_[[#This Row],[LogExpenditure]]-Table_dat150_[[#This Row],[Log Quadratic Trend]]</f>
        <v>-4.7410966617266403E-2</v>
      </c>
      <c r="O282" s="9">
        <f t="shared" si="9"/>
        <v>-3.6873823841254705E-3</v>
      </c>
      <c r="P282" s="9">
        <f>Table_dat150_[[#This Row],[Log Quadratic Trend]]+Table_dat150_[[#This Row],[Cycle]]</f>
        <v>6.9683359802817009</v>
      </c>
      <c r="Q282" s="9">
        <f>Table_dat150_[[#This Row],[LogExpenditure]]-Table_dat150_[[#This Row],[Log Quadratic Trend]]-Table_dat150_[[#This Row],[Cycle]]</f>
        <v>-4.3723584233140933E-2</v>
      </c>
      <c r="R282" s="9">
        <f>AVERAGEIF(Table_dat150_[Quarter], B282, Table_dat150_[High Frequency])</f>
        <v>-4.2281954239907563E-2</v>
      </c>
      <c r="S282" s="9">
        <f>Table_dat150_[[#This Row],[S0]]-AVERAGE($R$6:$R$9)</f>
        <v>-4.2188413571464481E-2</v>
      </c>
    </row>
    <row r="283" spans="1:19" x14ac:dyDescent="0.3">
      <c r="A283">
        <v>2020</v>
      </c>
      <c r="B283">
        <v>2</v>
      </c>
      <c r="C283" s="1">
        <f>DATE(Table_dat150_[[#This Row],[Year]],(Table_dat150_[[#This Row],[Quarter]]-1)*3+2,15)</f>
        <v>43966</v>
      </c>
      <c r="D283">
        <f>Table_dat150_[[#This Row],[Year]]+1/8+(Table_dat150_[[#This Row],[Quarter]]-1)/4</f>
        <v>2020.375</v>
      </c>
      <c r="E283">
        <f>Table_dat150_[[#This Row],[DecDate]]^2</f>
        <v>4081915.140625</v>
      </c>
      <c r="F283">
        <v>1069</v>
      </c>
      <c r="G283" s="8">
        <f>LN(Table_dat150_[[#This Row],[Expenditure]])</f>
        <v>6.9744789110250451</v>
      </c>
      <c r="H283" s="9">
        <f t="shared" si="8"/>
        <v>5.1130776794493606E-2</v>
      </c>
      <c r="I283" s="9">
        <f>(1+Table_dat150_[[#This Row],[gt]])^4 -1</f>
        <v>0.22075077633170248</v>
      </c>
      <c r="J283" s="9">
        <f>$V$18+$V$19*Table_dat150_[[#This Row],[DecDate]]</f>
        <v>1050.730497659566</v>
      </c>
      <c r="K283" s="9">
        <f>$V$37+$V$38*Table_dat150_[[#This Row],[DecDate]]+$V$39*Table_dat150_[[#This Row],[DecDate2]]</f>
        <v>1067.6234589113883</v>
      </c>
      <c r="L283" s="9">
        <f>$AF$18+$AF$19*Table_dat150_[[#This Row],[DecDate]]</f>
        <v>6.9686860563956463</v>
      </c>
      <c r="M283" s="9">
        <f>$AF$37+$AF$38*Table_dat150_[[#This Row],[DecDate]]+$AF$39*Table_dat150_[[#This Row],[DecDate2]]</f>
        <v>6.9736374443125015</v>
      </c>
      <c r="N283" s="9">
        <f>Table_dat150_[[#This Row],[LogExpenditure]]-Table_dat150_[[#This Row],[Log Quadratic Trend]]</f>
        <v>8.4146671254359262E-4</v>
      </c>
      <c r="O283" s="9">
        <f t="shared" si="9"/>
        <v>-8.7798125731765701E-3</v>
      </c>
      <c r="P283" s="9">
        <f>Table_dat150_[[#This Row],[Log Quadratic Trend]]+Table_dat150_[[#This Row],[Cycle]]</f>
        <v>6.9648576317393252</v>
      </c>
      <c r="Q283" s="9">
        <f>Table_dat150_[[#This Row],[LogExpenditure]]-Table_dat150_[[#This Row],[Log Quadratic Trend]]-Table_dat150_[[#This Row],[Cycle]]</f>
        <v>9.6212792857201627E-3</v>
      </c>
      <c r="R283" s="9">
        <f>AVERAGEIF(Table_dat150_[Quarter], B283, Table_dat150_[High Frequency])</f>
        <v>3.2923068860816217E-2</v>
      </c>
      <c r="S283" s="9">
        <f>Table_dat150_[[#This Row],[S0]]-AVERAGE($R$6:$R$9)</f>
        <v>3.3016609529259298E-2</v>
      </c>
    </row>
    <row r="284" spans="1:19" x14ac:dyDescent="0.3">
      <c r="A284">
        <v>2020</v>
      </c>
      <c r="B284">
        <v>3</v>
      </c>
      <c r="C284" s="1">
        <f>DATE(Table_dat150_[[#This Row],[Year]],(Table_dat150_[[#This Row],[Quarter]]-1)*3+2,15)</f>
        <v>44058</v>
      </c>
      <c r="D284">
        <f>Table_dat150_[[#This Row],[Year]]+1/8+(Table_dat150_[[#This Row],[Quarter]]-1)/4</f>
        <v>2020.625</v>
      </c>
      <c r="E284">
        <f>Table_dat150_[[#This Row],[DecDate]]^2</f>
        <v>4082925.390625</v>
      </c>
      <c r="F284">
        <v>1110</v>
      </c>
      <c r="G284" s="8">
        <f>LN(Table_dat150_[[#This Row],[Expenditure]])</f>
        <v>7.0121152943063798</v>
      </c>
      <c r="H284" s="9">
        <f t="shared" si="8"/>
        <v>3.8353601496725911E-2</v>
      </c>
      <c r="I284" s="9">
        <f>(1+Table_dat150_[[#This Row],[gt]])^4 -1</f>
        <v>0.16246823470993377</v>
      </c>
      <c r="J284" s="9">
        <f>$V$18+$V$19*Table_dat150_[[#This Row],[DecDate]]</f>
        <v>1052.036153203393</v>
      </c>
      <c r="K284" s="9">
        <f>$V$37+$V$38*Table_dat150_[[#This Row],[DecDate]]+$V$39*Table_dat150_[[#This Row],[DecDate2]]</f>
        <v>1069.3004174735397</v>
      </c>
      <c r="L284" s="9">
        <f>$AF$18+$AF$19*Table_dat150_[[#This Row],[DecDate]]</f>
        <v>6.9701920851464232</v>
      </c>
      <c r="M284" s="9">
        <f>$AF$37+$AF$38*Table_dat150_[[#This Row],[DecDate]]+$AF$39*Table_dat150_[[#This Row],[DecDate2]]</f>
        <v>6.9752523033181397</v>
      </c>
      <c r="N284" s="9">
        <f>Table_dat150_[[#This Row],[LogExpenditure]]-Table_dat150_[[#This Row],[Log Quadratic Trend]]</f>
        <v>3.6862990988240085E-2</v>
      </c>
      <c r="O284" s="9"/>
      <c r="P284" s="9"/>
      <c r="Q284" s="9"/>
      <c r="R284" s="9">
        <f>AVERAGEIF(Table_dat150_[Quarter], B284, Table_dat150_[High Frequency])</f>
        <v>3.7456808917954526E-2</v>
      </c>
      <c r="S284" s="9">
        <f>Table_dat150_[[#This Row],[S0]]-AVERAGE($R$6:$R$9)</f>
        <v>3.7550349586397608E-2</v>
      </c>
    </row>
    <row r="285" spans="1:19" x14ac:dyDescent="0.3">
      <c r="A285">
        <v>2020</v>
      </c>
      <c r="B285">
        <v>4</v>
      </c>
      <c r="C285" s="1">
        <f>DATE(Table_dat150_[[#This Row],[Year]],(Table_dat150_[[#This Row],[Quarter]]-1)*3+2,15)</f>
        <v>44150</v>
      </c>
      <c r="D285">
        <f>Table_dat150_[[#This Row],[Year]]+1/8+(Table_dat150_[[#This Row],[Quarter]]-1)/4</f>
        <v>2020.875</v>
      </c>
      <c r="E285">
        <f>Table_dat150_[[#This Row],[DecDate]]^2</f>
        <v>4083935.765625</v>
      </c>
      <c r="F285">
        <v>1083</v>
      </c>
      <c r="G285" s="8">
        <f>LN(Table_dat150_[[#This Row],[Expenditure]])</f>
        <v>6.9874902470009905</v>
      </c>
      <c r="H285" s="9">
        <f t="shared" si="8"/>
        <v>-2.4324324324324326E-2</v>
      </c>
      <c r="I285" s="9">
        <f>(1+Table_dat150_[[#This Row],[gt]])^4 -1</f>
        <v>-9.3804478857472784E-2</v>
      </c>
      <c r="J285" s="9">
        <f>$V$18+$V$19*Table_dat150_[[#This Row],[DecDate]]</f>
        <v>1053.3418087472201</v>
      </c>
      <c r="K285" s="9">
        <f>$V$37+$V$38*Table_dat150_[[#This Row],[DecDate]]+$V$39*Table_dat150_[[#This Row],[DecDate2]]</f>
        <v>1070.9800282001233</v>
      </c>
      <c r="L285" s="9">
        <f>$AF$18+$AF$19*Table_dat150_[[#This Row],[DecDate]]</f>
        <v>6.9716981138971983</v>
      </c>
      <c r="M285" s="9">
        <f>$AF$37+$AF$38*Table_dat150_[[#This Row],[DecDate]]+$AF$39*Table_dat150_[[#This Row],[DecDate2]]</f>
        <v>6.976867939682748</v>
      </c>
      <c r="N285" s="9">
        <f>Table_dat150_[[#This Row],[LogExpenditure]]-Table_dat150_[[#This Row],[Log Quadratic Trend]]</f>
        <v>1.0622307318242541E-2</v>
      </c>
      <c r="O285" s="9"/>
      <c r="P285" s="9"/>
      <c r="Q285" s="9"/>
      <c r="R285" s="9">
        <f>AVERAGEIF(Table_dat150_[Quarter], B285, Table_dat150_[High Frequency])</f>
        <v>-2.8472086212635514E-2</v>
      </c>
      <c r="S285" s="9">
        <f>Table_dat150_[[#This Row],[S0]]-AVERAGE($R$6:$R$9)</f>
        <v>-2.8378545544192432E-2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55E7-24F0-47BE-9AF5-2FCC8838C39D}">
  <dimension ref="A1"/>
  <sheetViews>
    <sheetView topLeftCell="A19" zoomScale="110" zoomScaleNormal="110" workbookViewId="0">
      <selection activeCell="AG99" sqref="AG9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9CFB-102A-40BD-A497-046DA52EAF9A}">
  <dimension ref="A1:AD285"/>
  <sheetViews>
    <sheetView topLeftCell="B1" workbookViewId="0">
      <selection activeCell="K3" sqref="K3"/>
    </sheetView>
  </sheetViews>
  <sheetFormatPr defaultRowHeight="14.4" x14ac:dyDescent="0.3"/>
  <cols>
    <col min="1" max="1" width="6.5546875" customWidth="1"/>
    <col min="2" max="2" width="9.33203125" customWidth="1"/>
    <col min="3" max="3" width="10.33203125" bestFit="1" customWidth="1"/>
    <col min="4" max="5" width="10.33203125" customWidth="1"/>
    <col min="6" max="6" width="13" customWidth="1"/>
  </cols>
  <sheetData>
    <row r="1" spans="1:27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2</v>
      </c>
      <c r="G1" t="s">
        <v>46</v>
      </c>
      <c r="H1" t="s">
        <v>40</v>
      </c>
      <c r="I1" t="s">
        <v>39</v>
      </c>
      <c r="J1" t="s">
        <v>41</v>
      </c>
    </row>
    <row r="2" spans="1:27" x14ac:dyDescent="0.3">
      <c r="A2">
        <v>1950</v>
      </c>
      <c r="B2">
        <v>1</v>
      </c>
      <c r="C2" s="1">
        <f>DATE(Table2[[#This Row],[Year]],(Table2[[#This Row],[Quarter]]-1)*3+2,15)</f>
        <v>18309</v>
      </c>
      <c r="D2">
        <f>Table2[[#This Row],[Year]]+1/8+(Table2[[#This Row],[Quarter]]-1)/4</f>
        <v>1950.125</v>
      </c>
      <c r="E2">
        <f>Table2[[#This Row],[DecDate]]^2</f>
        <v>3802987.515625</v>
      </c>
      <c r="F2">
        <v>723</v>
      </c>
      <c r="G2">
        <f>LN(Table2[[#This Row],[Expenditure]])</f>
        <v>6.5834092221587648</v>
      </c>
      <c r="H2">
        <f>$W$18+$W$19*Table2[[#This Row],[DecDate]]+$W$20*Table2[[#This Row],[DecDate2]]</f>
        <v>6.5869689489309735</v>
      </c>
      <c r="I2">
        <f>Table2[[#This Row],[Log Expenditure]]-Table2[[#This Row],[Quadratic Trend]]</f>
        <v>-3.5597267722087267E-3</v>
      </c>
      <c r="V2" t="s">
        <v>47</v>
      </c>
    </row>
    <row r="3" spans="1:27" ht="15" thickBot="1" x14ac:dyDescent="0.35">
      <c r="A3">
        <v>1950</v>
      </c>
      <c r="B3">
        <v>2</v>
      </c>
      <c r="C3" s="1">
        <f>DATE(Table2[[#This Row],[Year]],(Table2[[#This Row],[Quarter]]-1)*3+2,15)</f>
        <v>18398</v>
      </c>
      <c r="D3">
        <f>Table2[[#This Row],[Year]]+1/8+(Table2[[#This Row],[Quarter]]-1)/4</f>
        <v>1950.375</v>
      </c>
      <c r="E3">
        <f>Table2[[#This Row],[DecDate]]^2</f>
        <v>3803962.640625</v>
      </c>
      <c r="F3">
        <v>736</v>
      </c>
      <c r="G3">
        <f>LN(Table2[[#This Row],[Expenditure]])</f>
        <v>6.6012301187288767</v>
      </c>
      <c r="H3">
        <f>$W$18+$W$19*Table2[[#This Row],[DecDate]]+$W$20*Table2[[#This Row],[DecDate2]]</f>
        <v>6.5909757248282403</v>
      </c>
      <c r="I3">
        <f>Table2[[#This Row],[Log Expenditure]]-Table2[[#This Row],[Quadratic Trend]]</f>
        <v>1.0254393900636316E-2</v>
      </c>
    </row>
    <row r="4" spans="1:27" x14ac:dyDescent="0.3">
      <c r="A4">
        <v>1950</v>
      </c>
      <c r="B4">
        <v>3</v>
      </c>
      <c r="C4" s="1">
        <f>DATE(Table2[[#This Row],[Year]],(Table2[[#This Row],[Quarter]]-1)*3+2,15)</f>
        <v>18490</v>
      </c>
      <c r="D4">
        <f>Table2[[#This Row],[Year]]+1/8+(Table2[[#This Row],[Quarter]]-1)/4</f>
        <v>1950.625</v>
      </c>
      <c r="E4">
        <f>Table2[[#This Row],[DecDate]]^2</f>
        <v>3804937.890625</v>
      </c>
      <c r="F4">
        <v>667</v>
      </c>
      <c r="G4">
        <f>LN(Table2[[#This Row],[Expenditure]])</f>
        <v>6.5027900459156234</v>
      </c>
      <c r="H4">
        <f>$W$18+$W$19*Table2[[#This Row],[DecDate]]+$W$20*Table2[[#This Row],[DecDate2]]</f>
        <v>6.5949687846432425</v>
      </c>
      <c r="I4">
        <f>Table2[[#This Row],[Log Expenditure]]-Table2[[#This Row],[Quadratic Trend]]</f>
        <v>-9.2178738727619169E-2</v>
      </c>
      <c r="J4">
        <f>AVERAGE(I2:I6)</f>
        <v>-2.0950289190478345E-2</v>
      </c>
      <c r="V4" s="4" t="s">
        <v>7</v>
      </c>
      <c r="W4" s="4"/>
    </row>
    <row r="5" spans="1:27" x14ac:dyDescent="0.3">
      <c r="A5">
        <v>1950</v>
      </c>
      <c r="B5">
        <v>4</v>
      </c>
      <c r="C5" s="1">
        <f>DATE(Table2[[#This Row],[Year]],(Table2[[#This Row],[Quarter]]-1)*3+2,15)</f>
        <v>18582</v>
      </c>
      <c r="D5">
        <f>Table2[[#This Row],[Year]]+1/8+(Table2[[#This Row],[Quarter]]-1)/4</f>
        <v>1950.875</v>
      </c>
      <c r="E5">
        <f>Table2[[#This Row],[DecDate]]^2</f>
        <v>3805913.265625</v>
      </c>
      <c r="F5">
        <v>709</v>
      </c>
      <c r="G5">
        <f>LN(Table2[[#This Row],[Expenditure]])</f>
        <v>6.5638555265321274</v>
      </c>
      <c r="H5">
        <f>$W$18+$W$19*Table2[[#This Row],[DecDate]]+$W$20*Table2[[#This Row],[DecDate2]]</f>
        <v>6.5989481283760369</v>
      </c>
      <c r="I5">
        <f>Table2[[#This Row],[Log Expenditure]]-Table2[[#This Row],[Quadratic Trend]]</f>
        <v>-3.5092601843909499E-2</v>
      </c>
      <c r="J5">
        <f t="shared" ref="J5:J68" si="0">AVERAGE(I3:I7)</f>
        <v>-1.6003202119084924E-2</v>
      </c>
      <c r="V5" t="s">
        <v>8</v>
      </c>
      <c r="W5">
        <v>0.98597944086452782</v>
      </c>
    </row>
    <row r="6" spans="1:27" x14ac:dyDescent="0.3">
      <c r="A6">
        <v>1951</v>
      </c>
      <c r="B6">
        <v>1</v>
      </c>
      <c r="C6" s="1">
        <f>DATE(Table2[[#This Row],[Year]],(Table2[[#This Row],[Quarter]]-1)*3+2,15)</f>
        <v>18674</v>
      </c>
      <c r="D6">
        <f>Table2[[#This Row],[Year]]+1/8+(Table2[[#This Row],[Quarter]]-1)/4</f>
        <v>1951.125</v>
      </c>
      <c r="E6">
        <f>Table2[[#This Row],[DecDate]]^2</f>
        <v>3806888.765625</v>
      </c>
      <c r="F6">
        <v>749</v>
      </c>
      <c r="G6">
        <f>LN(Table2[[#This Row],[Expenditure]])</f>
        <v>6.6187389835172192</v>
      </c>
      <c r="H6">
        <f>$W$18+$W$19*Table2[[#This Row],[DecDate]]+$W$20*Table2[[#This Row],[DecDate2]]</f>
        <v>6.6029137560265099</v>
      </c>
      <c r="I6">
        <f>Table2[[#This Row],[Log Expenditure]]-Table2[[#This Row],[Quadratic Trend]]</f>
        <v>1.5825227490709359E-2</v>
      </c>
      <c r="J6">
        <f t="shared" si="0"/>
        <v>-3.2876533997117721E-2</v>
      </c>
      <c r="V6" t="s">
        <v>9</v>
      </c>
      <c r="W6">
        <v>0.97215545780752688</v>
      </c>
    </row>
    <row r="7" spans="1:27" x14ac:dyDescent="0.3">
      <c r="A7">
        <v>1951</v>
      </c>
      <c r="B7">
        <v>2</v>
      </c>
      <c r="C7" s="1">
        <f>DATE(Table2[[#This Row],[Year]],(Table2[[#This Row],[Quarter]]-1)*3+2,15)</f>
        <v>18763</v>
      </c>
      <c r="D7">
        <f>Table2[[#This Row],[Year]]+1/8+(Table2[[#This Row],[Quarter]]-1)/4</f>
        <v>1951.375</v>
      </c>
      <c r="E7">
        <f>Table2[[#This Row],[DecDate]]^2</f>
        <v>3807864.390625</v>
      </c>
      <c r="F7">
        <v>756</v>
      </c>
      <c r="G7">
        <f>LN(Table2[[#This Row],[Expenditure]])</f>
        <v>6.6280413761795334</v>
      </c>
      <c r="H7">
        <f>$W$18+$W$19*Table2[[#This Row],[DecDate]]+$W$20*Table2[[#This Row],[DecDate2]]</f>
        <v>6.606865667594775</v>
      </c>
      <c r="I7">
        <f>Table2[[#This Row],[Log Expenditure]]-Table2[[#This Row],[Quadratic Trend]]</f>
        <v>2.1175708584758368E-2</v>
      </c>
      <c r="J7">
        <f t="shared" si="0"/>
        <v>-1.8230351956268008E-2</v>
      </c>
      <c r="V7" t="s">
        <v>10</v>
      </c>
      <c r="W7">
        <v>0.97195727601256254</v>
      </c>
    </row>
    <row r="8" spans="1:27" x14ac:dyDescent="0.3">
      <c r="A8">
        <v>1951</v>
      </c>
      <c r="B8">
        <v>3</v>
      </c>
      <c r="C8" s="1">
        <f>DATE(Table2[[#This Row],[Year]],(Table2[[#This Row],[Quarter]]-1)*3+2,15)</f>
        <v>18855</v>
      </c>
      <c r="D8">
        <f>Table2[[#This Row],[Year]]+1/8+(Table2[[#This Row],[Quarter]]-1)/4</f>
        <v>1951.625</v>
      </c>
      <c r="E8">
        <f>Table2[[#This Row],[DecDate]]^2</f>
        <v>3808840.140625</v>
      </c>
      <c r="F8">
        <v>690</v>
      </c>
      <c r="G8">
        <f>LN(Table2[[#This Row],[Expenditure]])</f>
        <v>6.5366915975913047</v>
      </c>
      <c r="H8">
        <f>$W$18+$W$19*Table2[[#This Row],[DecDate]]+$W$20*Table2[[#This Row],[DecDate2]]</f>
        <v>6.6108038630808323</v>
      </c>
      <c r="I8">
        <f>Table2[[#This Row],[Log Expenditure]]-Table2[[#This Row],[Quadratic Trend]]</f>
        <v>-7.4112265489527651E-2</v>
      </c>
      <c r="J8">
        <f t="shared" si="0"/>
        <v>-7.4880464918253512E-3</v>
      </c>
      <c r="V8" t="s">
        <v>11</v>
      </c>
      <c r="W8">
        <v>2.9751661510487498E-2</v>
      </c>
    </row>
    <row r="9" spans="1:27" ht="15" thickBot="1" x14ac:dyDescent="0.35">
      <c r="A9">
        <v>1951</v>
      </c>
      <c r="B9">
        <v>4</v>
      </c>
      <c r="C9" s="1">
        <f>DATE(Table2[[#This Row],[Year]],(Table2[[#This Row],[Quarter]]-1)*3+2,15)</f>
        <v>18947</v>
      </c>
      <c r="D9">
        <f>Table2[[#This Row],[Year]]+1/8+(Table2[[#This Row],[Quarter]]-1)/4</f>
        <v>1951.875</v>
      </c>
      <c r="E9">
        <f>Table2[[#This Row],[DecDate]]^2</f>
        <v>3809816.015625</v>
      </c>
      <c r="F9">
        <v>732</v>
      </c>
      <c r="G9">
        <f>LN(Table2[[#This Row],[Expenditure]])</f>
        <v>6.5957805139613113</v>
      </c>
      <c r="H9">
        <f>$W$18+$W$19*Table2[[#This Row],[DecDate]]+$W$20*Table2[[#This Row],[DecDate2]]</f>
        <v>6.6147283424846819</v>
      </c>
      <c r="I9">
        <f>Table2[[#This Row],[Log Expenditure]]-Table2[[#This Row],[Quadratic Trend]]</f>
        <v>-1.8947828523370625E-2</v>
      </c>
      <c r="J9">
        <f t="shared" si="0"/>
        <v>-5.3634125941179889E-3</v>
      </c>
      <c r="V9" s="2" t="s">
        <v>12</v>
      </c>
      <c r="W9" s="2">
        <v>284</v>
      </c>
    </row>
    <row r="10" spans="1:27" x14ac:dyDescent="0.3">
      <c r="A10">
        <v>1952</v>
      </c>
      <c r="B10">
        <v>1</v>
      </c>
      <c r="C10" s="1">
        <f>DATE(Table2[[#This Row],[Year]],(Table2[[#This Row],[Quarter]]-1)*3+2,15)</f>
        <v>19039</v>
      </c>
      <c r="D10">
        <f>Table2[[#This Row],[Year]]+1/8+(Table2[[#This Row],[Quarter]]-1)/4</f>
        <v>1952.125</v>
      </c>
      <c r="E10">
        <f>Table2[[#This Row],[DecDate]]^2</f>
        <v>3810792.015625</v>
      </c>
      <c r="F10">
        <v>763</v>
      </c>
      <c r="G10">
        <f>LN(Table2[[#This Row],[Expenditure]])</f>
        <v>6.6372580312844569</v>
      </c>
      <c r="H10">
        <f>$W$18+$W$19*Table2[[#This Row],[DecDate]]+$W$20*Table2[[#This Row],[DecDate2]]</f>
        <v>6.6186391058061531</v>
      </c>
      <c r="I10">
        <f>Table2[[#This Row],[Log Expenditure]]-Table2[[#This Row],[Quadratic Trend]]</f>
        <v>1.8618925478303794E-2</v>
      </c>
      <c r="J10">
        <f t="shared" si="0"/>
        <v>-2.1829457144514564E-2</v>
      </c>
    </row>
    <row r="11" spans="1:27" ht="15" thickBot="1" x14ac:dyDescent="0.35">
      <c r="A11">
        <v>1952</v>
      </c>
      <c r="B11">
        <v>2</v>
      </c>
      <c r="C11" s="1">
        <f>DATE(Table2[[#This Row],[Year]],(Table2[[#This Row],[Quarter]]-1)*3+2,15)</f>
        <v>19129</v>
      </c>
      <c r="D11">
        <f>Table2[[#This Row],[Year]]+1/8+(Table2[[#This Row],[Quarter]]-1)/4</f>
        <v>1952.375</v>
      </c>
      <c r="E11">
        <f>Table2[[#This Row],[DecDate]]^2</f>
        <v>3811768.140625</v>
      </c>
      <c r="F11">
        <v>772</v>
      </c>
      <c r="G11">
        <f>LN(Table2[[#This Row],[Expenditure]])</f>
        <v>6.6489845500247764</v>
      </c>
      <c r="H11">
        <f>$W$18+$W$19*Table2[[#This Row],[DecDate]]+$W$20*Table2[[#This Row],[DecDate2]]</f>
        <v>6.6225361530455302</v>
      </c>
      <c r="I11">
        <f>Table2[[#This Row],[Log Expenditure]]-Table2[[#This Row],[Quadratic Trend]]</f>
        <v>2.6448396979246169E-2</v>
      </c>
      <c r="J11">
        <f t="shared" si="0"/>
        <v>-1.2547245464239864E-2</v>
      </c>
      <c r="V11" t="s">
        <v>13</v>
      </c>
    </row>
    <row r="12" spans="1:27" x14ac:dyDescent="0.3">
      <c r="A12">
        <v>1952</v>
      </c>
      <c r="B12">
        <v>3</v>
      </c>
      <c r="C12" s="1">
        <f>DATE(Table2[[#This Row],[Year]],(Table2[[#This Row],[Quarter]]-1)*3+2,15)</f>
        <v>19221</v>
      </c>
      <c r="D12">
        <f>Table2[[#This Row],[Year]]+1/8+(Table2[[#This Row],[Quarter]]-1)/4</f>
        <v>1952.625</v>
      </c>
      <c r="E12">
        <f>Table2[[#This Row],[DecDate]]^2</f>
        <v>3812744.390625</v>
      </c>
      <c r="F12">
        <v>710</v>
      </c>
      <c r="G12">
        <f>LN(Table2[[#This Row],[Expenditure]])</f>
        <v>6.5652649700353614</v>
      </c>
      <c r="H12">
        <f>$W$18+$W$19*Table2[[#This Row],[DecDate]]+$W$20*Table2[[#This Row],[DecDate2]]</f>
        <v>6.6264194842025859</v>
      </c>
      <c r="I12">
        <f>Table2[[#This Row],[Log Expenditure]]-Table2[[#This Row],[Quadratic Trend]]</f>
        <v>-6.1154514167224505E-2</v>
      </c>
      <c r="J12">
        <f t="shared" si="0"/>
        <v>-6.0490047009032818E-3</v>
      </c>
      <c r="V12" s="3"/>
      <c r="W12" s="3" t="s">
        <v>18</v>
      </c>
      <c r="X12" s="3" t="s">
        <v>19</v>
      </c>
      <c r="Y12" s="3" t="s">
        <v>20</v>
      </c>
      <c r="Z12" s="3" t="s">
        <v>21</v>
      </c>
      <c r="AA12" s="3" t="s">
        <v>22</v>
      </c>
    </row>
    <row r="13" spans="1:27" x14ac:dyDescent="0.3">
      <c r="A13">
        <v>1952</v>
      </c>
      <c r="B13">
        <v>4</v>
      </c>
      <c r="C13" s="1">
        <f>DATE(Table2[[#This Row],[Year]],(Table2[[#This Row],[Quarter]]-1)*3+2,15)</f>
        <v>19313</v>
      </c>
      <c r="D13">
        <f>Table2[[#This Row],[Year]]+1/8+(Table2[[#This Row],[Quarter]]-1)/4</f>
        <v>1952.875</v>
      </c>
      <c r="E13">
        <f>Table2[[#This Row],[DecDate]]^2</f>
        <v>3813720.765625</v>
      </c>
      <c r="F13">
        <v>737</v>
      </c>
      <c r="G13">
        <f>LN(Table2[[#This Row],[Expenditure]])</f>
        <v>6.6025878921893364</v>
      </c>
      <c r="H13">
        <f>$W$18+$W$19*Table2[[#This Row],[DecDate]]+$W$20*Table2[[#This Row],[DecDate2]]</f>
        <v>6.6302890992774905</v>
      </c>
      <c r="I13">
        <f>Table2[[#This Row],[Log Expenditure]]-Table2[[#This Row],[Quadratic Trend]]</f>
        <v>-2.7701207088154156E-2</v>
      </c>
      <c r="J13">
        <f t="shared" si="0"/>
        <v>-4.7436868344819414E-3</v>
      </c>
      <c r="V13" t="s">
        <v>14</v>
      </c>
      <c r="W13">
        <v>2</v>
      </c>
      <c r="X13">
        <v>8.684091794414794</v>
      </c>
      <c r="Y13">
        <v>4.342045897207397</v>
      </c>
      <c r="Z13">
        <v>4905.3721507721375</v>
      </c>
      <c r="AA13">
        <v>3.0618329619214544E-219</v>
      </c>
    </row>
    <row r="14" spans="1:27" x14ac:dyDescent="0.3">
      <c r="A14">
        <v>1953</v>
      </c>
      <c r="B14">
        <v>1</v>
      </c>
      <c r="C14" s="1">
        <f>DATE(Table2[[#This Row],[Year]],(Table2[[#This Row],[Quarter]]-1)*3+2,15)</f>
        <v>19405</v>
      </c>
      <c r="D14">
        <f>Table2[[#This Row],[Year]]+1/8+(Table2[[#This Row],[Quarter]]-1)/4</f>
        <v>1953.125</v>
      </c>
      <c r="E14">
        <f>Table2[[#This Row],[DecDate]]^2</f>
        <v>3814697.265625</v>
      </c>
      <c r="F14">
        <v>771</v>
      </c>
      <c r="G14">
        <f>LN(Table2[[#This Row],[Expenditure]])</f>
        <v>6.6476883735633292</v>
      </c>
      <c r="H14">
        <f>$W$18+$W$19*Table2[[#This Row],[DecDate]]+$W$20*Table2[[#This Row],[DecDate2]]</f>
        <v>6.6341449982700169</v>
      </c>
      <c r="I14">
        <f>Table2[[#This Row],[Log Expenditure]]-Table2[[#This Row],[Quadratic Trend]]</f>
        <v>1.3543375293312288E-2</v>
      </c>
      <c r="J14">
        <f t="shared" si="0"/>
        <v>-2.1714651400290209E-2</v>
      </c>
      <c r="V14" t="s">
        <v>15</v>
      </c>
      <c r="W14">
        <v>281</v>
      </c>
      <c r="X14">
        <v>0.24873034290032911</v>
      </c>
      <c r="Y14">
        <v>8.8516136263462315E-4</v>
      </c>
    </row>
    <row r="15" spans="1:27" ht="15" thickBot="1" x14ac:dyDescent="0.35">
      <c r="A15">
        <v>1953</v>
      </c>
      <c r="B15">
        <v>2</v>
      </c>
      <c r="C15" s="1">
        <f>DATE(Table2[[#This Row],[Year]],(Table2[[#This Row],[Quarter]]-1)*3+2,15)</f>
        <v>19494</v>
      </c>
      <c r="D15">
        <f>Table2[[#This Row],[Year]]+1/8+(Table2[[#This Row],[Quarter]]-1)/4</f>
        <v>1953.375</v>
      </c>
      <c r="E15">
        <f>Table2[[#This Row],[DecDate]]^2</f>
        <v>3815673.890625</v>
      </c>
      <c r="F15">
        <v>783</v>
      </c>
      <c r="G15">
        <f>LN(Table2[[#This Row],[Expenditure]])</f>
        <v>6.6631326959908028</v>
      </c>
      <c r="H15">
        <f>$W$18+$W$19*Table2[[#This Row],[DecDate]]+$W$20*Table2[[#This Row],[DecDate2]]</f>
        <v>6.6379871811803923</v>
      </c>
      <c r="I15">
        <f>Table2[[#This Row],[Log Expenditure]]-Table2[[#This Row],[Quadratic Trend]]</f>
        <v>2.5145514810410496E-2</v>
      </c>
      <c r="J15">
        <f t="shared" si="0"/>
        <v>-8.2954535997696865E-3</v>
      </c>
      <c r="V15" s="2" t="s">
        <v>16</v>
      </c>
      <c r="W15" s="2">
        <v>283</v>
      </c>
      <c r="X15" s="2">
        <v>8.9328221373151226</v>
      </c>
      <c r="Y15" s="2"/>
      <c r="Z15" s="2"/>
      <c r="AA15" s="2"/>
    </row>
    <row r="16" spans="1:27" ht="15" thickBot="1" x14ac:dyDescent="0.35">
      <c r="A16">
        <v>1953</v>
      </c>
      <c r="B16">
        <v>3</v>
      </c>
      <c r="C16" s="1">
        <f>DATE(Table2[[#This Row],[Year]],(Table2[[#This Row],[Quarter]]-1)*3+2,15)</f>
        <v>19586</v>
      </c>
      <c r="D16">
        <f>Table2[[#This Row],[Year]]+1/8+(Table2[[#This Row],[Quarter]]-1)/4</f>
        <v>1953.625</v>
      </c>
      <c r="E16">
        <f>Table2[[#This Row],[DecDate]]^2</f>
        <v>3816650.640625</v>
      </c>
      <c r="F16">
        <v>723</v>
      </c>
      <c r="G16">
        <f>LN(Table2[[#This Row],[Expenditure]])</f>
        <v>6.5834092221587648</v>
      </c>
      <c r="H16">
        <f>$W$18+$W$19*Table2[[#This Row],[DecDate]]+$W$20*Table2[[#This Row],[DecDate2]]</f>
        <v>6.6418156480085599</v>
      </c>
      <c r="I16">
        <f>Table2[[#This Row],[Log Expenditure]]-Table2[[#This Row],[Quadratic Trend]]</f>
        <v>-5.8406425849795163E-2</v>
      </c>
      <c r="J16">
        <f t="shared" si="0"/>
        <v>3.5294368923066699E-3</v>
      </c>
    </row>
    <row r="17" spans="1:30" x14ac:dyDescent="0.3">
      <c r="A17">
        <v>1953</v>
      </c>
      <c r="B17">
        <v>4</v>
      </c>
      <c r="C17" s="1">
        <f>DATE(Table2[[#This Row],[Year]],(Table2[[#This Row],[Quarter]]-1)*3+2,15)</f>
        <v>19678</v>
      </c>
      <c r="D17">
        <f>Table2[[#This Row],[Year]]+1/8+(Table2[[#This Row],[Quarter]]-1)/4</f>
        <v>1953.875</v>
      </c>
      <c r="E17">
        <f>Table2[[#This Row],[DecDate]]^2</f>
        <v>3817627.515625</v>
      </c>
      <c r="F17">
        <v>774</v>
      </c>
      <c r="G17">
        <f>LN(Table2[[#This Row],[Expenditure]])</f>
        <v>6.6515718735897273</v>
      </c>
      <c r="H17">
        <f>$W$18+$W$19*Table2[[#This Row],[DecDate]]+$W$20*Table2[[#This Row],[DecDate2]]</f>
        <v>6.6456303987543492</v>
      </c>
      <c r="I17">
        <f>Table2[[#This Row],[Log Expenditure]]-Table2[[#This Row],[Quadratic Trend]]</f>
        <v>5.9414748353781022E-3</v>
      </c>
      <c r="J17">
        <f t="shared" si="0"/>
        <v>9.830622256843214E-3</v>
      </c>
      <c r="V17" s="3"/>
      <c r="W17" s="3" t="s">
        <v>23</v>
      </c>
      <c r="X17" s="3" t="s">
        <v>11</v>
      </c>
      <c r="Y17" s="3" t="s">
        <v>24</v>
      </c>
      <c r="Z17" s="3" t="s">
        <v>25</v>
      </c>
      <c r="AA17" s="3" t="s">
        <v>26</v>
      </c>
      <c r="AB17" s="3" t="s">
        <v>27</v>
      </c>
      <c r="AC17" s="3" t="s">
        <v>28</v>
      </c>
      <c r="AD17" s="3" t="s">
        <v>29</v>
      </c>
    </row>
    <row r="18" spans="1:30" x14ac:dyDescent="0.3">
      <c r="A18">
        <v>1954</v>
      </c>
      <c r="B18">
        <v>1</v>
      </c>
      <c r="C18" s="1">
        <f>DATE(Table2[[#This Row],[Year]],(Table2[[#This Row],[Quarter]]-1)*3+2,15)</f>
        <v>19770</v>
      </c>
      <c r="D18">
        <f>Table2[[#This Row],[Year]]+1/8+(Table2[[#This Row],[Quarter]]-1)/4</f>
        <v>1954.125</v>
      </c>
      <c r="E18">
        <f>Table2[[#This Row],[DecDate]]^2</f>
        <v>3818604.515625</v>
      </c>
      <c r="F18">
        <v>797</v>
      </c>
      <c r="G18">
        <f>LN(Table2[[#This Row],[Expenditure]])</f>
        <v>6.6808546787902152</v>
      </c>
      <c r="H18">
        <f>$W$18+$W$19*Table2[[#This Row],[DecDate]]+$W$20*Table2[[#This Row],[DecDate2]]</f>
        <v>6.6494314334179876</v>
      </c>
      <c r="I18">
        <f>Table2[[#This Row],[Log Expenditure]]-Table2[[#This Row],[Quadratic Trend]]</f>
        <v>3.1423245372227626E-2</v>
      </c>
      <c r="J18">
        <f t="shared" si="0"/>
        <v>-8.262205203235418E-3</v>
      </c>
      <c r="V18" t="s">
        <v>17</v>
      </c>
      <c r="W18" s="5">
        <v>-442.0180987528409</v>
      </c>
      <c r="X18">
        <v>18.522392760042777</v>
      </c>
      <c r="Y18">
        <v>-23.863984771253715</v>
      </c>
      <c r="Z18">
        <v>1.5426535992620292E-69</v>
      </c>
      <c r="AA18">
        <v>-478.47835630319196</v>
      </c>
      <c r="AB18">
        <v>-405.55784120248984</v>
      </c>
      <c r="AC18">
        <v>-478.47835630319196</v>
      </c>
      <c r="AD18">
        <v>-405.55784120248984</v>
      </c>
    </row>
    <row r="19" spans="1:30" x14ac:dyDescent="0.3">
      <c r="A19">
        <v>1954</v>
      </c>
      <c r="B19">
        <v>2</v>
      </c>
      <c r="C19" s="1">
        <f>DATE(Table2[[#This Row],[Year]],(Table2[[#This Row],[Quarter]]-1)*3+2,15)</f>
        <v>19859</v>
      </c>
      <c r="D19">
        <f>Table2[[#This Row],[Year]]+1/8+(Table2[[#This Row],[Quarter]]-1)/4</f>
        <v>1954.375</v>
      </c>
      <c r="E19">
        <f>Table2[[#This Row],[DecDate]]^2</f>
        <v>3819581.640625</v>
      </c>
      <c r="F19">
        <v>811</v>
      </c>
      <c r="G19">
        <f>LN(Table2[[#This Row],[Expenditure]])</f>
        <v>6.6982680541154132</v>
      </c>
      <c r="H19">
        <f>$W$18+$W$19*Table2[[#This Row],[DecDate]]+$W$20*Table2[[#This Row],[DecDate2]]</f>
        <v>6.6532187519994181</v>
      </c>
      <c r="I19">
        <f>Table2[[#This Row],[Log Expenditure]]-Table2[[#This Row],[Quadratic Trend]]</f>
        <v>4.5049302115995005E-2</v>
      </c>
      <c r="J19">
        <f t="shared" si="0"/>
        <v>-2.3310127372473842E-3</v>
      </c>
      <c r="V19" t="s">
        <v>30</v>
      </c>
      <c r="W19" s="5">
        <v>0.44402373379522453</v>
      </c>
      <c r="X19">
        <v>1.8659052458049514E-2</v>
      </c>
      <c r="Y19">
        <v>23.796692505876564</v>
      </c>
      <c r="Z19">
        <v>2.6254588534758777E-69</v>
      </c>
      <c r="AA19">
        <v>0.4072944695430597</v>
      </c>
      <c r="AB19">
        <v>0.48075299804738936</v>
      </c>
      <c r="AC19">
        <v>0.4072944695430597</v>
      </c>
      <c r="AD19">
        <v>0.48075299804738936</v>
      </c>
    </row>
    <row r="20" spans="1:30" ht="15" thickBot="1" x14ac:dyDescent="0.35">
      <c r="A20">
        <v>1954</v>
      </c>
      <c r="B20">
        <v>3</v>
      </c>
      <c r="C20" s="1">
        <f>DATE(Table2[[#This Row],[Year]],(Table2[[#This Row],[Quarter]]-1)*3+2,15)</f>
        <v>19951</v>
      </c>
      <c r="D20">
        <f>Table2[[#This Row],[Year]]+1/8+(Table2[[#This Row],[Quarter]]-1)/4</f>
        <v>1954.625</v>
      </c>
      <c r="E20">
        <f>Table2[[#This Row],[DecDate]]^2</f>
        <v>3820558.890625</v>
      </c>
      <c r="F20">
        <v>729</v>
      </c>
      <c r="G20">
        <f>LN(Table2[[#This Row],[Expenditure]])</f>
        <v>6.5916737320086582</v>
      </c>
      <c r="H20">
        <f>$W$18+$W$19*Table2[[#This Row],[DecDate]]+$W$20*Table2[[#This Row],[DecDate2]]</f>
        <v>6.6569923544986409</v>
      </c>
      <c r="I20">
        <f>Table2[[#This Row],[Log Expenditure]]-Table2[[#This Row],[Quadratic Trend]]</f>
        <v>-6.5318622489982658E-2</v>
      </c>
      <c r="J20">
        <f t="shared" si="0"/>
        <v>-1.2543456273892417E-3</v>
      </c>
      <c r="V20" s="2" t="s">
        <v>31</v>
      </c>
      <c r="W20" s="6">
        <v>-1.0972865791726374E-4</v>
      </c>
      <c r="X20" s="2">
        <v>4.6987795617119258E-6</v>
      </c>
      <c r="Y20" s="2">
        <v>-23.352586874129894</v>
      </c>
      <c r="Z20" s="2">
        <v>8.8888142842089058E-68</v>
      </c>
      <c r="AA20" s="2">
        <v>-1.189779333867872E-4</v>
      </c>
      <c r="AB20" s="2">
        <v>-1.0047938244774028E-4</v>
      </c>
      <c r="AC20" s="2">
        <v>-1.189779333867872E-4</v>
      </c>
      <c r="AD20" s="2">
        <v>-1.0047938244774028E-4</v>
      </c>
    </row>
    <row r="21" spans="1:30" x14ac:dyDescent="0.3">
      <c r="A21">
        <v>1954</v>
      </c>
      <c r="B21">
        <v>4</v>
      </c>
      <c r="C21" s="1">
        <f>DATE(Table2[[#This Row],[Year]],(Table2[[#This Row],[Quarter]]-1)*3+2,15)</f>
        <v>20043</v>
      </c>
      <c r="D21">
        <f>Table2[[#This Row],[Year]]+1/8+(Table2[[#This Row],[Quarter]]-1)/4</f>
        <v>1954.875</v>
      </c>
      <c r="E21">
        <f>Table2[[#This Row],[DecDate]]^2</f>
        <v>3821536.265625</v>
      </c>
      <c r="F21">
        <v>759</v>
      </c>
      <c r="G21">
        <f>LN(Table2[[#This Row],[Expenditure]])</f>
        <v>6.6320017773956303</v>
      </c>
      <c r="H21">
        <f>$W$18+$W$19*Table2[[#This Row],[DecDate]]+$W$20*Table2[[#This Row],[DecDate2]]</f>
        <v>6.6607522409154853</v>
      </c>
      <c r="I21">
        <f>Table2[[#This Row],[Log Expenditure]]-Table2[[#This Row],[Quadratic Trend]]</f>
        <v>-2.8750463519854996E-2</v>
      </c>
      <c r="J21">
        <f t="shared" si="0"/>
        <v>-2.2727560981486762E-3</v>
      </c>
    </row>
    <row r="22" spans="1:30" x14ac:dyDescent="0.3">
      <c r="A22">
        <v>1955</v>
      </c>
      <c r="B22">
        <v>1</v>
      </c>
      <c r="C22" s="1">
        <f>DATE(Table2[[#This Row],[Year]],(Table2[[#This Row],[Quarter]]-1)*3+2,15)</f>
        <v>20135</v>
      </c>
      <c r="D22">
        <f>Table2[[#This Row],[Year]]+1/8+(Table2[[#This Row],[Quarter]]-1)/4</f>
        <v>1955.125</v>
      </c>
      <c r="E22">
        <f>Table2[[#This Row],[DecDate]]^2</f>
        <v>3822513.765625</v>
      </c>
      <c r="F22">
        <v>793</v>
      </c>
      <c r="G22">
        <f>LN(Table2[[#This Row],[Expenditure]])</f>
        <v>6.6758232216348476</v>
      </c>
      <c r="H22">
        <f>$W$18+$W$19*Table2[[#This Row],[DecDate]]+$W$20*Table2[[#This Row],[DecDate2]]</f>
        <v>6.6644984112501788</v>
      </c>
      <c r="I22">
        <f>Table2[[#This Row],[Log Expenditure]]-Table2[[#This Row],[Quadratic Trend]]</f>
        <v>1.1324810384668815E-2</v>
      </c>
      <c r="J22">
        <f t="shared" si="0"/>
        <v>-2.5970731533021763E-2</v>
      </c>
    </row>
    <row r="23" spans="1:30" x14ac:dyDescent="0.3">
      <c r="A23">
        <v>1955</v>
      </c>
      <c r="B23">
        <v>2</v>
      </c>
      <c r="C23" s="1">
        <f>DATE(Table2[[#This Row],[Year]],(Table2[[#This Row],[Quarter]]-1)*3+2,15)</f>
        <v>20224</v>
      </c>
      <c r="D23">
        <f>Table2[[#This Row],[Year]]+1/8+(Table2[[#This Row],[Quarter]]-1)/4</f>
        <v>1955.375</v>
      </c>
      <c r="E23">
        <f>Table2[[#This Row],[DecDate]]^2</f>
        <v>3823491.390625</v>
      </c>
      <c r="F23">
        <v>808</v>
      </c>
      <c r="G23">
        <f>LN(Table2[[#This Row],[Expenditure]])</f>
        <v>6.694562058521095</v>
      </c>
      <c r="H23">
        <f>$W$18+$W$19*Table2[[#This Row],[DecDate]]+$W$20*Table2[[#This Row],[DecDate2]]</f>
        <v>6.6682308655026645</v>
      </c>
      <c r="I23">
        <f>Table2[[#This Row],[Log Expenditure]]-Table2[[#This Row],[Quadratic Trend]]</f>
        <v>2.6331193018430454E-2</v>
      </c>
      <c r="J23">
        <f t="shared" si="0"/>
        <v>-1.5922902219245038E-2</v>
      </c>
    </row>
    <row r="24" spans="1:30" x14ac:dyDescent="0.3">
      <c r="A24">
        <v>1955</v>
      </c>
      <c r="B24">
        <v>3</v>
      </c>
      <c r="C24" s="1">
        <f>DATE(Table2[[#This Row],[Year]],(Table2[[#This Row],[Quarter]]-1)*3+2,15)</f>
        <v>20316</v>
      </c>
      <c r="D24">
        <f>Table2[[#This Row],[Year]]+1/8+(Table2[[#This Row],[Quarter]]-1)/4</f>
        <v>1955.625</v>
      </c>
      <c r="E24">
        <f>Table2[[#This Row],[DecDate]]^2</f>
        <v>3824469.140625</v>
      </c>
      <c r="F24">
        <v>734</v>
      </c>
      <c r="G24">
        <f>LN(Table2[[#This Row],[Expenditure]])</f>
        <v>6.5985090286145152</v>
      </c>
      <c r="H24">
        <f>$W$18+$W$19*Table2[[#This Row],[DecDate]]+$W$20*Table2[[#This Row],[DecDate2]]</f>
        <v>6.6719496036728856</v>
      </c>
      <c r="I24">
        <f>Table2[[#This Row],[Log Expenditure]]-Table2[[#This Row],[Quadratic Trend]]</f>
        <v>-7.3440575058370428E-2</v>
      </c>
      <c r="J24">
        <f t="shared" si="0"/>
        <v>-3.9373739780952377E-3</v>
      </c>
    </row>
    <row r="25" spans="1:30" x14ac:dyDescent="0.3">
      <c r="A25">
        <v>1955</v>
      </c>
      <c r="B25">
        <v>4</v>
      </c>
      <c r="C25" s="1">
        <f>DATE(Table2[[#This Row],[Year]],(Table2[[#This Row],[Quarter]]-1)*3+2,15)</f>
        <v>20408</v>
      </c>
      <c r="D25">
        <f>Table2[[#This Row],[Year]]+1/8+(Table2[[#This Row],[Quarter]]-1)/4</f>
        <v>1955.875</v>
      </c>
      <c r="E25">
        <f>Table2[[#This Row],[DecDate]]^2</f>
        <v>3825447.015625</v>
      </c>
      <c r="F25">
        <v>781</v>
      </c>
      <c r="G25">
        <f>LN(Table2[[#This Row],[Expenditure]])</f>
        <v>6.6605751498396861</v>
      </c>
      <c r="H25">
        <f>$W$18+$W$19*Table2[[#This Row],[DecDate]]+$W$20*Table2[[#This Row],[DecDate2]]</f>
        <v>6.6756546257607852</v>
      </c>
      <c r="I25">
        <f>Table2[[#This Row],[Log Expenditure]]-Table2[[#This Row],[Quadratic Trend]]</f>
        <v>-1.5079475921099039E-2</v>
      </c>
      <c r="J25">
        <f t="shared" si="0"/>
        <v>7.5389861170567225E-4</v>
      </c>
    </row>
    <row r="26" spans="1:30" x14ac:dyDescent="0.3">
      <c r="A26">
        <v>1956</v>
      </c>
      <c r="B26">
        <v>1</v>
      </c>
      <c r="C26" s="1">
        <f>DATE(Table2[[#This Row],[Year]],(Table2[[#This Row],[Quarter]]-1)*3+2,15)</f>
        <v>20500</v>
      </c>
      <c r="D26">
        <f>Table2[[#This Row],[Year]]+1/8+(Table2[[#This Row],[Quarter]]-1)/4</f>
        <v>1956.125</v>
      </c>
      <c r="E26">
        <f>Table2[[#This Row],[DecDate]]^2</f>
        <v>3826425.015625</v>
      </c>
      <c r="F26">
        <v>821</v>
      </c>
      <c r="G26">
        <f>LN(Table2[[#This Row],[Expenditure]])</f>
        <v>6.7105231094524278</v>
      </c>
      <c r="H26">
        <f>$W$18+$W$19*Table2[[#This Row],[DecDate]]+$W$20*Table2[[#This Row],[DecDate2]]</f>
        <v>6.6793459317665338</v>
      </c>
      <c r="I26">
        <f>Table2[[#This Row],[Log Expenditure]]-Table2[[#This Row],[Quadratic Trend]]</f>
        <v>3.1177177685894009E-2</v>
      </c>
      <c r="J26">
        <f t="shared" si="0"/>
        <v>-1.5449463619090409E-2</v>
      </c>
    </row>
    <row r="27" spans="1:30" x14ac:dyDescent="0.3">
      <c r="A27">
        <v>1956</v>
      </c>
      <c r="B27">
        <v>2</v>
      </c>
      <c r="C27" s="1">
        <f>DATE(Table2[[#This Row],[Year]],(Table2[[#This Row],[Quarter]]-1)*3+2,15)</f>
        <v>20590</v>
      </c>
      <c r="D27">
        <f>Table2[[#This Row],[Year]]+1/8+(Table2[[#This Row],[Quarter]]-1)/4</f>
        <v>1956.375</v>
      </c>
      <c r="E27">
        <f>Table2[[#This Row],[DecDate]]^2</f>
        <v>3827403.140625</v>
      </c>
      <c r="F27">
        <v>827</v>
      </c>
      <c r="G27">
        <f>LN(Table2[[#This Row],[Expenditure]])</f>
        <v>6.7178046950236912</v>
      </c>
      <c r="H27">
        <f>$W$18+$W$19*Table2[[#This Row],[DecDate]]+$W$20*Table2[[#This Row],[DecDate2]]</f>
        <v>6.6830235216900178</v>
      </c>
      <c r="I27">
        <f>Table2[[#This Row],[Log Expenditure]]-Table2[[#This Row],[Quadratic Trend]]</f>
        <v>3.4781173333673365E-2</v>
      </c>
      <c r="J27">
        <f t="shared" si="0"/>
        <v>-5.6921157089730558E-3</v>
      </c>
    </row>
    <row r="28" spans="1:30" x14ac:dyDescent="0.3">
      <c r="A28">
        <v>1956</v>
      </c>
      <c r="B28">
        <v>3</v>
      </c>
      <c r="C28" s="1">
        <f>DATE(Table2[[#This Row],[Year]],(Table2[[#This Row],[Quarter]]-1)*3+2,15)</f>
        <v>20682</v>
      </c>
      <c r="D28">
        <f>Table2[[#This Row],[Year]]+1/8+(Table2[[#This Row],[Quarter]]-1)/4</f>
        <v>1956.625</v>
      </c>
      <c r="E28">
        <f>Table2[[#This Row],[DecDate]]^2</f>
        <v>3828381.390625</v>
      </c>
      <c r="F28">
        <v>759</v>
      </c>
      <c r="G28">
        <f>LN(Table2[[#This Row],[Expenditure]])</f>
        <v>6.6320017773956303</v>
      </c>
      <c r="H28">
        <f>$W$18+$W$19*Table2[[#This Row],[DecDate]]+$W$20*Table2[[#This Row],[DecDate2]]</f>
        <v>6.6866873955311803</v>
      </c>
      <c r="I28">
        <f>Table2[[#This Row],[Log Expenditure]]-Table2[[#This Row],[Quadratic Trend]]</f>
        <v>-5.4685618135549952E-2</v>
      </c>
      <c r="J28">
        <f t="shared" si="0"/>
        <v>1.1202206172615803E-3</v>
      </c>
    </row>
    <row r="29" spans="1:30" x14ac:dyDescent="0.3">
      <c r="A29">
        <v>1956</v>
      </c>
      <c r="B29">
        <v>4</v>
      </c>
      <c r="C29" s="1">
        <f>DATE(Table2[[#This Row],[Year]],(Table2[[#This Row],[Quarter]]-1)*3+2,15)</f>
        <v>20774</v>
      </c>
      <c r="D29">
        <f>Table2[[#This Row],[Year]]+1/8+(Table2[[#This Row],[Quarter]]-1)/4</f>
        <v>1956.875</v>
      </c>
      <c r="E29">
        <f>Table2[[#This Row],[DecDate]]^2</f>
        <v>3829359.765625</v>
      </c>
      <c r="F29">
        <v>785</v>
      </c>
      <c r="G29">
        <f>LN(Table2[[#This Row],[Expenditure]])</f>
        <v>6.6656837177824082</v>
      </c>
      <c r="H29">
        <f>$W$18+$W$19*Table2[[#This Row],[DecDate]]+$W$20*Table2[[#This Row],[DecDate2]]</f>
        <v>6.6903375532901919</v>
      </c>
      <c r="I29">
        <f>Table2[[#This Row],[Log Expenditure]]-Table2[[#This Row],[Quadratic Trend]]</f>
        <v>-2.4653835507783661E-2</v>
      </c>
      <c r="J29">
        <f t="shared" si="0"/>
        <v>8.5178593793546755E-4</v>
      </c>
    </row>
    <row r="30" spans="1:30" x14ac:dyDescent="0.3">
      <c r="A30">
        <v>1957</v>
      </c>
      <c r="B30">
        <v>1</v>
      </c>
      <c r="C30" s="1">
        <f>DATE(Table2[[#This Row],[Year]],(Table2[[#This Row],[Quarter]]-1)*3+2,15)</f>
        <v>20866</v>
      </c>
      <c r="D30">
        <f>Table2[[#This Row],[Year]]+1/8+(Table2[[#This Row],[Quarter]]-1)/4</f>
        <v>1957.125</v>
      </c>
      <c r="E30">
        <f>Table2[[#This Row],[DecDate]]^2</f>
        <v>3830338.265625</v>
      </c>
      <c r="F30">
        <v>823</v>
      </c>
      <c r="G30">
        <f>LN(Table2[[#This Row],[Expenditure]])</f>
        <v>6.7129562006770698</v>
      </c>
      <c r="H30">
        <f>$W$18+$W$19*Table2[[#This Row],[DecDate]]+$W$20*Table2[[#This Row],[DecDate2]]</f>
        <v>6.6939739949669956</v>
      </c>
      <c r="I30">
        <f>Table2[[#This Row],[Log Expenditure]]-Table2[[#This Row],[Quadratic Trend]]</f>
        <v>1.898220571007414E-2</v>
      </c>
      <c r="J30">
        <f t="shared" si="0"/>
        <v>-1.7067491774003862E-2</v>
      </c>
    </row>
    <row r="31" spans="1:30" x14ac:dyDescent="0.3">
      <c r="A31">
        <v>1957</v>
      </c>
      <c r="B31">
        <v>2</v>
      </c>
      <c r="C31" s="1">
        <f>DATE(Table2[[#This Row],[Year]],(Table2[[#This Row],[Quarter]]-1)*3+2,15)</f>
        <v>20955</v>
      </c>
      <c r="D31">
        <f>Table2[[#This Row],[Year]]+1/8+(Table2[[#This Row],[Quarter]]-1)/4</f>
        <v>1957.375</v>
      </c>
      <c r="E31">
        <f>Table2[[#This Row],[DecDate]]^2</f>
        <v>3831316.890625</v>
      </c>
      <c r="F31">
        <v>835</v>
      </c>
      <c r="G31">
        <f>LN(Table2[[#This Row],[Expenditure]])</f>
        <v>6.7274317248508551</v>
      </c>
      <c r="H31">
        <f>$W$18+$W$19*Table2[[#This Row],[DecDate]]+$W$20*Table2[[#This Row],[DecDate2]]</f>
        <v>6.6975967205615916</v>
      </c>
      <c r="I31">
        <f>Table2[[#This Row],[Log Expenditure]]-Table2[[#This Row],[Quadratic Trend]]</f>
        <v>2.9835004289263445E-2</v>
      </c>
      <c r="J31">
        <f t="shared" si="0"/>
        <v>-9.1707190118643922E-3</v>
      </c>
    </row>
    <row r="32" spans="1:30" x14ac:dyDescent="0.3">
      <c r="A32">
        <v>1957</v>
      </c>
      <c r="B32">
        <v>3</v>
      </c>
      <c r="C32" s="1">
        <f>DATE(Table2[[#This Row],[Year]],(Table2[[#This Row],[Quarter]]-1)*3+2,15)</f>
        <v>21047</v>
      </c>
      <c r="D32">
        <f>Table2[[#This Row],[Year]]+1/8+(Table2[[#This Row],[Quarter]]-1)/4</f>
        <v>1957.625</v>
      </c>
      <c r="E32">
        <f>Table2[[#This Row],[DecDate]]^2</f>
        <v>3832295.640625</v>
      </c>
      <c r="F32">
        <v>770</v>
      </c>
      <c r="G32">
        <f>LN(Table2[[#This Row],[Expenditure]])</f>
        <v>6.6463905148477291</v>
      </c>
      <c r="H32">
        <f>$W$18+$W$19*Table2[[#This Row],[DecDate]]+$W$20*Table2[[#This Row],[DecDate2]]</f>
        <v>6.7012057300737524</v>
      </c>
      <c r="I32">
        <f>Table2[[#This Row],[Log Expenditure]]-Table2[[#This Row],[Quadratic Trend]]</f>
        <v>-5.4815215226023284E-2</v>
      </c>
      <c r="J32">
        <f t="shared" si="0"/>
        <v>1.0018599139463903E-3</v>
      </c>
    </row>
    <row r="33" spans="1:10" x14ac:dyDescent="0.3">
      <c r="A33">
        <v>1957</v>
      </c>
      <c r="B33">
        <v>4</v>
      </c>
      <c r="C33" s="1">
        <f>DATE(Table2[[#This Row],[Year]],(Table2[[#This Row],[Quarter]]-1)*3+2,15)</f>
        <v>21139</v>
      </c>
      <c r="D33">
        <f>Table2[[#This Row],[Year]]+1/8+(Table2[[#This Row],[Quarter]]-1)/4</f>
        <v>1957.875</v>
      </c>
      <c r="E33">
        <f>Table2[[#This Row],[DecDate]]^2</f>
        <v>3833274.515625</v>
      </c>
      <c r="F33">
        <v>804</v>
      </c>
      <c r="G33">
        <f>LN(Table2[[#This Row],[Expenditure]])</f>
        <v>6.6895992691789665</v>
      </c>
      <c r="H33">
        <f>$W$18+$W$19*Table2[[#This Row],[DecDate]]+$W$20*Table2[[#This Row],[DecDate2]]</f>
        <v>6.7048010235038191</v>
      </c>
      <c r="I33">
        <f>Table2[[#This Row],[Log Expenditure]]-Table2[[#This Row],[Quadratic Trend]]</f>
        <v>-1.5201754324852601E-2</v>
      </c>
      <c r="J33">
        <f t="shared" si="0"/>
        <v>2.6826518199118965E-3</v>
      </c>
    </row>
    <row r="34" spans="1:10" x14ac:dyDescent="0.3">
      <c r="A34">
        <v>1958</v>
      </c>
      <c r="B34">
        <v>1</v>
      </c>
      <c r="C34" s="1">
        <f>DATE(Table2[[#This Row],[Year]],(Table2[[#This Row],[Quarter]]-1)*3+2,15)</f>
        <v>21231</v>
      </c>
      <c r="D34">
        <f>Table2[[#This Row],[Year]]+1/8+(Table2[[#This Row],[Quarter]]-1)/4</f>
        <v>1958.125</v>
      </c>
      <c r="E34">
        <f>Table2[[#This Row],[DecDate]]^2</f>
        <v>3834253.515625</v>
      </c>
      <c r="F34">
        <v>841</v>
      </c>
      <c r="G34">
        <f>LN(Table2[[#This Row],[Expenditure]])</f>
        <v>6.7345916599729483</v>
      </c>
      <c r="H34">
        <f>$W$18+$W$19*Table2[[#This Row],[DecDate]]+$W$20*Table2[[#This Row],[DecDate2]]</f>
        <v>6.708382600851678</v>
      </c>
      <c r="I34">
        <f>Table2[[#This Row],[Log Expenditure]]-Table2[[#This Row],[Quadratic Trend]]</f>
        <v>2.6209059121270251E-2</v>
      </c>
      <c r="J34">
        <f t="shared" si="0"/>
        <v>-1.5039965662371558E-2</v>
      </c>
    </row>
    <row r="35" spans="1:10" x14ac:dyDescent="0.3">
      <c r="A35">
        <v>1958</v>
      </c>
      <c r="B35">
        <v>2</v>
      </c>
      <c r="C35" s="1">
        <f>DATE(Table2[[#This Row],[Year]],(Table2[[#This Row],[Quarter]]-1)*3+2,15)</f>
        <v>21320</v>
      </c>
      <c r="D35">
        <f>Table2[[#This Row],[Year]]+1/8+(Table2[[#This Row],[Quarter]]-1)/4</f>
        <v>1958.375</v>
      </c>
      <c r="E35">
        <f>Table2[[#This Row],[DecDate]]^2</f>
        <v>3835232.640625</v>
      </c>
      <c r="F35">
        <v>845</v>
      </c>
      <c r="G35">
        <f>LN(Table2[[#This Row],[Expenditure]])</f>
        <v>6.739336627357174</v>
      </c>
      <c r="H35">
        <f>$W$18+$W$19*Table2[[#This Row],[DecDate]]+$W$20*Table2[[#This Row],[DecDate2]]</f>
        <v>6.7119504621172723</v>
      </c>
      <c r="I35">
        <f>Table2[[#This Row],[Log Expenditure]]-Table2[[#This Row],[Quadratic Trend]]</f>
        <v>2.7386165239901672E-2</v>
      </c>
      <c r="J35">
        <f t="shared" si="0"/>
        <v>-4.0832990204370031E-3</v>
      </c>
    </row>
    <row r="36" spans="1:10" x14ac:dyDescent="0.3">
      <c r="A36">
        <v>1958</v>
      </c>
      <c r="B36">
        <v>3</v>
      </c>
      <c r="C36" s="1">
        <f>DATE(Table2[[#This Row],[Year]],(Table2[[#This Row],[Quarter]]-1)*3+2,15)</f>
        <v>21412</v>
      </c>
      <c r="D36">
        <f>Table2[[#This Row],[Year]]+1/8+(Table2[[#This Row],[Quarter]]-1)/4</f>
        <v>1958.625</v>
      </c>
      <c r="E36">
        <f>Table2[[#This Row],[DecDate]]^2</f>
        <v>3836211.890625</v>
      </c>
      <c r="F36">
        <v>778</v>
      </c>
      <c r="G36">
        <f>LN(Table2[[#This Row],[Expenditure]])</f>
        <v>6.6567265241783913</v>
      </c>
      <c r="H36">
        <f>$W$18+$W$19*Table2[[#This Row],[DecDate]]+$W$20*Table2[[#This Row],[DecDate2]]</f>
        <v>6.7155046073005451</v>
      </c>
      <c r="I36">
        <f>Table2[[#This Row],[Log Expenditure]]-Table2[[#This Row],[Quadratic Trend]]</f>
        <v>-5.8778083122153824E-2</v>
      </c>
      <c r="J36">
        <f t="shared" si="0"/>
        <v>4.6629957477806626E-3</v>
      </c>
    </row>
    <row r="37" spans="1:10" x14ac:dyDescent="0.3">
      <c r="A37">
        <v>1958</v>
      </c>
      <c r="B37">
        <v>4</v>
      </c>
      <c r="C37" s="1">
        <f>DATE(Table2[[#This Row],[Year]],(Table2[[#This Row],[Quarter]]-1)*3+2,15)</f>
        <v>21504</v>
      </c>
      <c r="D37">
        <f>Table2[[#This Row],[Year]]+1/8+(Table2[[#This Row],[Quarter]]-1)/4</f>
        <v>1958.875</v>
      </c>
      <c r="E37">
        <f>Table2[[#This Row],[DecDate]]^2</f>
        <v>3837191.265625</v>
      </c>
      <c r="F37">
        <v>828</v>
      </c>
      <c r="G37">
        <f>LN(Table2[[#This Row],[Expenditure]])</f>
        <v>6.7190131543852596</v>
      </c>
      <c r="H37">
        <f>$W$18+$W$19*Table2[[#This Row],[DecDate]]+$W$20*Table2[[#This Row],[DecDate2]]</f>
        <v>6.7190450364016101</v>
      </c>
      <c r="I37">
        <f>Table2[[#This Row],[Log Expenditure]]-Table2[[#This Row],[Quadratic Trend]]</f>
        <v>-3.188201635051513E-5</v>
      </c>
      <c r="J37">
        <f t="shared" si="0"/>
        <v>6.5187884129256799E-3</v>
      </c>
    </row>
    <row r="38" spans="1:10" x14ac:dyDescent="0.3">
      <c r="A38">
        <v>1959</v>
      </c>
      <c r="B38">
        <v>1</v>
      </c>
      <c r="C38" s="1">
        <f>DATE(Table2[[#This Row],[Year]],(Table2[[#This Row],[Quarter]]-1)*3+2,15)</f>
        <v>21596</v>
      </c>
      <c r="D38">
        <f>Table2[[#This Row],[Year]]+1/8+(Table2[[#This Row],[Quarter]]-1)/4</f>
        <v>1959.125</v>
      </c>
      <c r="E38">
        <f>Table2[[#This Row],[DecDate]]^2</f>
        <v>3838170.765625</v>
      </c>
      <c r="F38">
        <v>855</v>
      </c>
      <c r="G38">
        <f>LN(Table2[[#This Row],[Expenditure]])</f>
        <v>6.7511014689367599</v>
      </c>
      <c r="H38">
        <f>$W$18+$W$19*Table2[[#This Row],[DecDate]]+$W$20*Table2[[#This Row],[DecDate2]]</f>
        <v>6.7225717494205242</v>
      </c>
      <c r="I38">
        <f>Table2[[#This Row],[Log Expenditure]]-Table2[[#This Row],[Quadratic Trend]]</f>
        <v>2.852971951623573E-2</v>
      </c>
      <c r="J38">
        <f t="shared" si="0"/>
        <v>-7.2043072879912629E-3</v>
      </c>
    </row>
    <row r="39" spans="1:10" x14ac:dyDescent="0.3">
      <c r="A39">
        <v>1959</v>
      </c>
      <c r="B39">
        <v>2</v>
      </c>
      <c r="C39" s="1">
        <f>DATE(Table2[[#This Row],[Year]],(Table2[[#This Row],[Quarter]]-1)*3+2,15)</f>
        <v>21685</v>
      </c>
      <c r="D39">
        <f>Table2[[#This Row],[Year]]+1/8+(Table2[[#This Row],[Quarter]]-1)/4</f>
        <v>1959.375</v>
      </c>
      <c r="E39">
        <f>Table2[[#This Row],[DecDate]]^2</f>
        <v>3839150.390625</v>
      </c>
      <c r="F39">
        <v>864</v>
      </c>
      <c r="G39">
        <f>LN(Table2[[#This Row],[Expenditure]])</f>
        <v>6.7615727688040552</v>
      </c>
      <c r="H39">
        <f>$W$18+$W$19*Table2[[#This Row],[DecDate]]+$W$20*Table2[[#This Row],[DecDate2]]</f>
        <v>6.7260847463570599</v>
      </c>
      <c r="I39">
        <f>Table2[[#This Row],[Log Expenditure]]-Table2[[#This Row],[Quadratic Trend]]</f>
        <v>3.5488022446995338E-2</v>
      </c>
      <c r="J39">
        <f t="shared" si="0"/>
        <v>3.6631135566668862E-3</v>
      </c>
    </row>
    <row r="40" spans="1:10" x14ac:dyDescent="0.3">
      <c r="A40">
        <v>1959</v>
      </c>
      <c r="B40">
        <v>3</v>
      </c>
      <c r="C40" s="1">
        <f>DATE(Table2[[#This Row],[Year]],(Table2[[#This Row],[Quarter]]-1)*3+2,15)</f>
        <v>21777</v>
      </c>
      <c r="D40">
        <f>Table2[[#This Row],[Year]]+1/8+(Table2[[#This Row],[Quarter]]-1)/4</f>
        <v>1959.625</v>
      </c>
      <c r="E40">
        <f>Table2[[#This Row],[DecDate]]^2</f>
        <v>3840130.140625</v>
      </c>
      <c r="F40">
        <v>803</v>
      </c>
      <c r="G40">
        <f>LN(Table2[[#This Row],[Expenditure]])</f>
        <v>6.6883547139467616</v>
      </c>
      <c r="H40">
        <f>$W$18+$W$19*Table2[[#This Row],[DecDate]]+$W$20*Table2[[#This Row],[DecDate2]]</f>
        <v>6.7295840272114447</v>
      </c>
      <c r="I40">
        <f>Table2[[#This Row],[Log Expenditure]]-Table2[[#This Row],[Quadratic Trend]]</f>
        <v>-4.1229313264683043E-2</v>
      </c>
      <c r="J40">
        <f t="shared" si="0"/>
        <v>9.5995447573002934E-3</v>
      </c>
    </row>
    <row r="41" spans="1:10" x14ac:dyDescent="0.3">
      <c r="A41">
        <v>1959</v>
      </c>
      <c r="B41">
        <v>4</v>
      </c>
      <c r="C41" s="1">
        <f>DATE(Table2[[#This Row],[Year]],(Table2[[#This Row],[Quarter]]-1)*3+2,15)</f>
        <v>21869</v>
      </c>
      <c r="D41">
        <f>Table2[[#This Row],[Year]]+1/8+(Table2[[#This Row],[Quarter]]-1)/4</f>
        <v>1959.875</v>
      </c>
      <c r="E41">
        <f>Table2[[#This Row],[DecDate]]^2</f>
        <v>3841110.015625</v>
      </c>
      <c r="F41">
        <v>836</v>
      </c>
      <c r="G41">
        <f>LN(Table2[[#This Row],[Expenditure]])</f>
        <v>6.7286286130847017</v>
      </c>
      <c r="H41">
        <f>$W$18+$W$19*Table2[[#This Row],[DecDate]]+$W$20*Table2[[#This Row],[DecDate2]]</f>
        <v>6.7330695919835648</v>
      </c>
      <c r="I41">
        <f>Table2[[#This Row],[Log Expenditure]]-Table2[[#This Row],[Quadratic Trend]]</f>
        <v>-4.4409788988630794E-3</v>
      </c>
      <c r="J41">
        <f t="shared" si="0"/>
        <v>1.3913133300620472E-2</v>
      </c>
    </row>
    <row r="42" spans="1:10" x14ac:dyDescent="0.3">
      <c r="A42">
        <v>1960</v>
      </c>
      <c r="B42">
        <v>1</v>
      </c>
      <c r="C42" s="1">
        <f>DATE(Table2[[#This Row],[Year]],(Table2[[#This Row],[Quarter]]-1)*3+2,15)</f>
        <v>21961</v>
      </c>
      <c r="D42">
        <f>Table2[[#This Row],[Year]]+1/8+(Table2[[#This Row],[Quarter]]-1)/4</f>
        <v>1960.125</v>
      </c>
      <c r="E42">
        <f>Table2[[#This Row],[DecDate]]^2</f>
        <v>3842090.015625</v>
      </c>
      <c r="F42">
        <v>868</v>
      </c>
      <c r="G42">
        <f>LN(Table2[[#This Row],[Expenditure]])</f>
        <v>6.7661917146603505</v>
      </c>
      <c r="H42">
        <f>$W$18+$W$19*Table2[[#This Row],[DecDate]]+$W$20*Table2[[#This Row],[DecDate2]]</f>
        <v>6.736541440673534</v>
      </c>
      <c r="I42">
        <f>Table2[[#This Row],[Log Expenditure]]-Table2[[#This Row],[Quadratic Trend]]</f>
        <v>2.9650273986816522E-2</v>
      </c>
      <c r="J42">
        <f t="shared" si="0"/>
        <v>7.1797098533377124E-4</v>
      </c>
    </row>
    <row r="43" spans="1:10" x14ac:dyDescent="0.3">
      <c r="A43">
        <v>1960</v>
      </c>
      <c r="B43">
        <v>2</v>
      </c>
      <c r="C43" s="1">
        <f>DATE(Table2[[#This Row],[Year]],(Table2[[#This Row],[Quarter]]-1)*3+2,15)</f>
        <v>22051</v>
      </c>
      <c r="D43">
        <f>Table2[[#This Row],[Year]]+1/8+(Table2[[#This Row],[Quarter]]-1)/4</f>
        <v>1960.375</v>
      </c>
      <c r="E43">
        <f>Table2[[#This Row],[DecDate]]^2</f>
        <v>3843070.140625</v>
      </c>
      <c r="F43">
        <v>889</v>
      </c>
      <c r="G43">
        <f>LN(Table2[[#This Row],[Expenditure]])</f>
        <v>6.7900972355139046</v>
      </c>
      <c r="H43">
        <f>$W$18+$W$19*Table2[[#This Row],[DecDate]]+$W$20*Table2[[#This Row],[DecDate2]]</f>
        <v>6.739999573281068</v>
      </c>
      <c r="I43">
        <f>Table2[[#This Row],[Log Expenditure]]-Table2[[#This Row],[Quadratic Trend]]</f>
        <v>5.0097662232836626E-2</v>
      </c>
      <c r="J43">
        <f t="shared" si="0"/>
        <v>9.3408050866582212E-3</v>
      </c>
    </row>
    <row r="44" spans="1:10" x14ac:dyDescent="0.3">
      <c r="A44">
        <v>1960</v>
      </c>
      <c r="B44">
        <v>3</v>
      </c>
      <c r="C44" s="1">
        <f>DATE(Table2[[#This Row],[Year]],(Table2[[#This Row],[Quarter]]-1)*3+2,15)</f>
        <v>22143</v>
      </c>
      <c r="D44">
        <f>Table2[[#This Row],[Year]]+1/8+(Table2[[#This Row],[Quarter]]-1)/4</f>
        <v>1960.625</v>
      </c>
      <c r="E44">
        <f>Table2[[#This Row],[DecDate]]^2</f>
        <v>3844050.390625</v>
      </c>
      <c r="F44">
        <v>823</v>
      </c>
      <c r="G44">
        <f>LN(Table2[[#This Row],[Expenditure]])</f>
        <v>6.7129562006770698</v>
      </c>
      <c r="H44">
        <f>$W$18+$W$19*Table2[[#This Row],[DecDate]]+$W$20*Table2[[#This Row],[DecDate2]]</f>
        <v>6.7434439898065079</v>
      </c>
      <c r="I44">
        <f>Table2[[#This Row],[Log Expenditure]]-Table2[[#This Row],[Quadratic Trend]]</f>
        <v>-3.048778912943817E-2</v>
      </c>
      <c r="J44">
        <f t="shared" si="0"/>
        <v>1.6155047438751069E-2</v>
      </c>
    </row>
    <row r="45" spans="1:10" x14ac:dyDescent="0.3">
      <c r="A45">
        <v>1960</v>
      </c>
      <c r="B45">
        <v>4</v>
      </c>
      <c r="C45" s="1">
        <f>DATE(Table2[[#This Row],[Year]],(Table2[[#This Row],[Quarter]]-1)*3+2,15)</f>
        <v>22235</v>
      </c>
      <c r="D45">
        <f>Table2[[#This Row],[Year]]+1/8+(Table2[[#This Row],[Quarter]]-1)/4</f>
        <v>1960.875</v>
      </c>
      <c r="E45">
        <f>Table2[[#This Row],[DecDate]]^2</f>
        <v>3845030.765625</v>
      </c>
      <c r="F45">
        <v>853</v>
      </c>
      <c r="G45">
        <f>LN(Table2[[#This Row],[Expenditure]])</f>
        <v>6.7487595474916793</v>
      </c>
      <c r="H45">
        <f>$W$18+$W$19*Table2[[#This Row],[DecDate]]+$W$20*Table2[[#This Row],[DecDate2]]</f>
        <v>6.7468746902497401</v>
      </c>
      <c r="I45">
        <f>Table2[[#This Row],[Log Expenditure]]-Table2[[#This Row],[Quadratic Trend]]</f>
        <v>1.8848572419392084E-3</v>
      </c>
      <c r="J45">
        <f t="shared" si="0"/>
        <v>1.6603533065114286E-2</v>
      </c>
    </row>
    <row r="46" spans="1:10" x14ac:dyDescent="0.3">
      <c r="A46">
        <v>1961</v>
      </c>
      <c r="B46">
        <v>1</v>
      </c>
      <c r="C46" s="1">
        <f>DATE(Table2[[#This Row],[Year]],(Table2[[#This Row],[Quarter]]-1)*3+2,15)</f>
        <v>22327</v>
      </c>
      <c r="D46">
        <f>Table2[[#This Row],[Year]]+1/8+(Table2[[#This Row],[Quarter]]-1)/4</f>
        <v>1961.125</v>
      </c>
      <c r="E46">
        <f>Table2[[#This Row],[DecDate]]^2</f>
        <v>3846011.265625</v>
      </c>
      <c r="F46">
        <v>880</v>
      </c>
      <c r="G46">
        <f>LN(Table2[[#This Row],[Expenditure]])</f>
        <v>6.7799219074722519</v>
      </c>
      <c r="H46">
        <f>$W$18+$W$19*Table2[[#This Row],[DecDate]]+$W$20*Table2[[#This Row],[DecDate2]]</f>
        <v>6.7502916746106507</v>
      </c>
      <c r="I46">
        <f>Table2[[#This Row],[Log Expenditure]]-Table2[[#This Row],[Quadratic Trend]]</f>
        <v>2.9630232861601158E-2</v>
      </c>
      <c r="J46">
        <f t="shared" si="0"/>
        <v>-4.6866764890380001E-3</v>
      </c>
    </row>
    <row r="47" spans="1:10" x14ac:dyDescent="0.3">
      <c r="A47">
        <v>1961</v>
      </c>
      <c r="B47">
        <v>2</v>
      </c>
      <c r="C47" s="1">
        <f>DATE(Table2[[#This Row],[Year]],(Table2[[#This Row],[Quarter]]-1)*3+2,15)</f>
        <v>22416</v>
      </c>
      <c r="D47">
        <f>Table2[[#This Row],[Year]]+1/8+(Table2[[#This Row],[Quarter]]-1)/4</f>
        <v>1961.375</v>
      </c>
      <c r="E47">
        <f>Table2[[#This Row],[DecDate]]^2</f>
        <v>3846991.890625</v>
      </c>
      <c r="F47">
        <v>885</v>
      </c>
      <c r="G47">
        <f>LN(Table2[[#This Row],[Expenditure]])</f>
        <v>6.7855876450079293</v>
      </c>
      <c r="H47">
        <f>$W$18+$W$19*Table2[[#This Row],[DecDate]]+$W$20*Table2[[#This Row],[DecDate2]]</f>
        <v>6.7536949428892967</v>
      </c>
      <c r="I47">
        <f>Table2[[#This Row],[Log Expenditure]]-Table2[[#This Row],[Quadratic Trend]]</f>
        <v>3.1892702118632599E-2</v>
      </c>
      <c r="J47">
        <f t="shared" si="0"/>
        <v>-2.8138594317200115E-3</v>
      </c>
    </row>
    <row r="48" spans="1:10" x14ac:dyDescent="0.3">
      <c r="A48">
        <v>1961</v>
      </c>
      <c r="B48">
        <v>3</v>
      </c>
      <c r="C48" s="1">
        <f>DATE(Table2[[#This Row],[Year]],(Table2[[#This Row],[Quarter]]-1)*3+2,15)</f>
        <v>22508</v>
      </c>
      <c r="D48">
        <f>Table2[[#This Row],[Year]]+1/8+(Table2[[#This Row],[Quarter]]-1)/4</f>
        <v>1961.625</v>
      </c>
      <c r="E48">
        <f>Table2[[#This Row],[DecDate]]^2</f>
        <v>3847972.640625</v>
      </c>
      <c r="F48">
        <v>813</v>
      </c>
      <c r="G48">
        <f>LN(Table2[[#This Row],[Expenditure]])</f>
        <v>6.7007311095478101</v>
      </c>
      <c r="H48">
        <f>$W$18+$W$19*Table2[[#This Row],[DecDate]]+$W$20*Table2[[#This Row],[DecDate2]]</f>
        <v>6.7570844950857349</v>
      </c>
      <c r="I48">
        <f>Table2[[#This Row],[Log Expenditure]]-Table2[[#This Row],[Quadratic Trend]]</f>
        <v>-5.6353385537924794E-2</v>
      </c>
      <c r="J48">
        <f t="shared" si="0"/>
        <v>-1.9834158947009683E-4</v>
      </c>
    </row>
    <row r="49" spans="1:10" x14ac:dyDescent="0.3">
      <c r="A49">
        <v>1961</v>
      </c>
      <c r="B49">
        <v>4</v>
      </c>
      <c r="C49" s="1">
        <f>DATE(Table2[[#This Row],[Year]],(Table2[[#This Row],[Quarter]]-1)*3+2,15)</f>
        <v>22600</v>
      </c>
      <c r="D49">
        <f>Table2[[#This Row],[Year]]+1/8+(Table2[[#This Row],[Quarter]]-1)/4</f>
        <v>1961.875</v>
      </c>
      <c r="E49">
        <f>Table2[[#This Row],[DecDate]]^2</f>
        <v>3848953.515625</v>
      </c>
      <c r="F49">
        <v>845</v>
      </c>
      <c r="G49">
        <f>LN(Table2[[#This Row],[Expenditure]])</f>
        <v>6.739336627357174</v>
      </c>
      <c r="H49">
        <f>$W$18+$W$19*Table2[[#This Row],[DecDate]]+$W$20*Table2[[#This Row],[DecDate2]]</f>
        <v>6.7604603312000222</v>
      </c>
      <c r="I49">
        <f>Table2[[#This Row],[Log Expenditure]]-Table2[[#This Row],[Quadratic Trend]]</f>
        <v>-2.1123703842848229E-2</v>
      </c>
      <c r="J49">
        <f t="shared" si="0"/>
        <v>6.9804769620720466E-4</v>
      </c>
    </row>
    <row r="50" spans="1:10" x14ac:dyDescent="0.3">
      <c r="A50">
        <v>1962</v>
      </c>
      <c r="B50">
        <v>1</v>
      </c>
      <c r="C50" s="1">
        <f>DATE(Table2[[#This Row],[Year]],(Table2[[#This Row],[Quarter]]-1)*3+2,15)</f>
        <v>22692</v>
      </c>
      <c r="D50">
        <f>Table2[[#This Row],[Year]]+1/8+(Table2[[#This Row],[Quarter]]-1)/4</f>
        <v>1962.125</v>
      </c>
      <c r="E50">
        <f>Table2[[#This Row],[DecDate]]^2</f>
        <v>3849934.515625</v>
      </c>
      <c r="F50">
        <v>879</v>
      </c>
      <c r="G50">
        <f>LN(Table2[[#This Row],[Expenditure]])</f>
        <v>6.7787848976851768</v>
      </c>
      <c r="H50">
        <f>$W$18+$W$19*Table2[[#This Row],[DecDate]]+$W$20*Table2[[#This Row],[DecDate2]]</f>
        <v>6.763822451231988</v>
      </c>
      <c r="I50">
        <f>Table2[[#This Row],[Log Expenditure]]-Table2[[#This Row],[Quadratic Trend]]</f>
        <v>1.4962446453188782E-2</v>
      </c>
      <c r="J50">
        <f t="shared" si="0"/>
        <v>-1.501511317311408E-2</v>
      </c>
    </row>
    <row r="51" spans="1:10" x14ac:dyDescent="0.3">
      <c r="A51">
        <v>1962</v>
      </c>
      <c r="B51">
        <v>2</v>
      </c>
      <c r="C51" s="1">
        <f>DATE(Table2[[#This Row],[Year]],(Table2[[#This Row],[Quarter]]-1)*3+2,15)</f>
        <v>22781</v>
      </c>
      <c r="D51">
        <f>Table2[[#This Row],[Year]]+1/8+(Table2[[#This Row],[Quarter]]-1)/4</f>
        <v>1962.375</v>
      </c>
      <c r="E51">
        <f>Table2[[#This Row],[DecDate]]^2</f>
        <v>3850915.640625</v>
      </c>
      <c r="F51">
        <v>899</v>
      </c>
      <c r="G51">
        <f>LN(Table2[[#This Row],[Expenditure]])</f>
        <v>6.80128303447162</v>
      </c>
      <c r="H51">
        <f>$W$18+$W$19*Table2[[#This Row],[DecDate]]+$W$20*Table2[[#This Row],[DecDate2]]</f>
        <v>6.7671708551816323</v>
      </c>
      <c r="I51">
        <f>Table2[[#This Row],[Log Expenditure]]-Table2[[#This Row],[Quadratic Trend]]</f>
        <v>3.4112179289987665E-2</v>
      </c>
      <c r="J51">
        <f t="shared" si="0"/>
        <v>-6.658684899684175E-3</v>
      </c>
    </row>
    <row r="52" spans="1:10" x14ac:dyDescent="0.3">
      <c r="A52">
        <v>1962</v>
      </c>
      <c r="B52">
        <v>3</v>
      </c>
      <c r="C52" s="1">
        <f>DATE(Table2[[#This Row],[Year]],(Table2[[#This Row],[Quarter]]-1)*3+2,15)</f>
        <v>22873</v>
      </c>
      <c r="D52">
        <f>Table2[[#This Row],[Year]]+1/8+(Table2[[#This Row],[Quarter]]-1)/4</f>
        <v>1962.625</v>
      </c>
      <c r="E52">
        <f>Table2[[#This Row],[DecDate]]^2</f>
        <v>3851896.890625</v>
      </c>
      <c r="F52">
        <v>832</v>
      </c>
      <c r="G52">
        <f>LN(Table2[[#This Row],[Expenditure]])</f>
        <v>6.7238324408212087</v>
      </c>
      <c r="H52">
        <f>$W$18+$W$19*Table2[[#This Row],[DecDate]]+$W$20*Table2[[#This Row],[DecDate2]]</f>
        <v>6.7705055430491825</v>
      </c>
      <c r="I52">
        <f>Table2[[#This Row],[Log Expenditure]]-Table2[[#This Row],[Quadratic Trend]]</f>
        <v>-4.6673102227973828E-2</v>
      </c>
      <c r="J52">
        <f t="shared" si="0"/>
        <v>1.0566179367101469E-3</v>
      </c>
    </row>
    <row r="53" spans="1:10" x14ac:dyDescent="0.3">
      <c r="A53">
        <v>1962</v>
      </c>
      <c r="B53">
        <v>4</v>
      </c>
      <c r="C53" s="1">
        <f>DATE(Table2[[#This Row],[Year]],(Table2[[#This Row],[Quarter]]-1)*3+2,15)</f>
        <v>22965</v>
      </c>
      <c r="D53">
        <f>Table2[[#This Row],[Year]]+1/8+(Table2[[#This Row],[Quarter]]-1)/4</f>
        <v>1962.875</v>
      </c>
      <c r="E53">
        <f>Table2[[#This Row],[DecDate]]^2</f>
        <v>3852878.265625</v>
      </c>
      <c r="F53">
        <v>862</v>
      </c>
      <c r="G53">
        <f>LN(Table2[[#This Row],[Expenditure]])</f>
        <v>6.7592552706636928</v>
      </c>
      <c r="H53">
        <f>$W$18+$W$19*Table2[[#This Row],[DecDate]]+$W$20*Table2[[#This Row],[DecDate2]]</f>
        <v>6.7738265148344681</v>
      </c>
      <c r="I53">
        <f>Table2[[#This Row],[Log Expenditure]]-Table2[[#This Row],[Quadratic Trend]]</f>
        <v>-1.4571244170775266E-2</v>
      </c>
      <c r="J53">
        <f t="shared" si="0"/>
        <v>4.8872460664263432E-3</v>
      </c>
    </row>
    <row r="54" spans="1:10" x14ac:dyDescent="0.3">
      <c r="A54">
        <v>1963</v>
      </c>
      <c r="B54">
        <v>1</v>
      </c>
      <c r="C54" s="1">
        <f>DATE(Table2[[#This Row],[Year]],(Table2[[#This Row],[Quarter]]-1)*3+2,15)</f>
        <v>23057</v>
      </c>
      <c r="D54">
        <f>Table2[[#This Row],[Year]]+1/8+(Table2[[#This Row],[Quarter]]-1)/4</f>
        <v>1963.125</v>
      </c>
      <c r="E54">
        <f>Table2[[#This Row],[DecDate]]^2</f>
        <v>3853859.765625</v>
      </c>
      <c r="F54">
        <v>893</v>
      </c>
      <c r="G54">
        <f>LN(Table2[[#This Row],[Expenditure]])</f>
        <v>6.7945865808764987</v>
      </c>
      <c r="H54">
        <f>$W$18+$W$19*Table2[[#This Row],[DecDate]]+$W$20*Table2[[#This Row],[DecDate2]]</f>
        <v>6.7771337705373753</v>
      </c>
      <c r="I54">
        <f>Table2[[#This Row],[Log Expenditure]]-Table2[[#This Row],[Quadratic Trend]]</f>
        <v>1.7452810339123381E-2</v>
      </c>
      <c r="J54">
        <f t="shared" si="0"/>
        <v>-7.9890328113625848E-3</v>
      </c>
    </row>
    <row r="55" spans="1:10" x14ac:dyDescent="0.3">
      <c r="A55">
        <v>1963</v>
      </c>
      <c r="B55">
        <v>2</v>
      </c>
      <c r="C55" s="1">
        <f>DATE(Table2[[#This Row],[Year]],(Table2[[#This Row],[Quarter]]-1)*3+2,15)</f>
        <v>23146</v>
      </c>
      <c r="D55">
        <f>Table2[[#This Row],[Year]]+1/8+(Table2[[#This Row],[Quarter]]-1)/4</f>
        <v>1963.375</v>
      </c>
      <c r="E55">
        <f>Table2[[#This Row],[DecDate]]^2</f>
        <v>3854841.390625</v>
      </c>
      <c r="F55">
        <v>911</v>
      </c>
      <c r="G55">
        <f>LN(Table2[[#This Row],[Expenditure]])</f>
        <v>6.8145428972599582</v>
      </c>
      <c r="H55">
        <f>$W$18+$W$19*Table2[[#This Row],[DecDate]]+$W$20*Table2[[#This Row],[DecDate2]]</f>
        <v>6.7804273101581884</v>
      </c>
      <c r="I55">
        <f>Table2[[#This Row],[Log Expenditure]]-Table2[[#This Row],[Quadratic Trend]]</f>
        <v>3.4115587101769762E-2</v>
      </c>
      <c r="J55">
        <f t="shared" si="0"/>
        <v>3.7621118153758461E-3</v>
      </c>
    </row>
    <row r="56" spans="1:10" x14ac:dyDescent="0.3">
      <c r="A56">
        <v>1963</v>
      </c>
      <c r="B56">
        <v>3</v>
      </c>
      <c r="C56" s="1">
        <f>DATE(Table2[[#This Row],[Year]],(Table2[[#This Row],[Quarter]]-1)*3+2,15)</f>
        <v>23238</v>
      </c>
      <c r="D56">
        <f>Table2[[#This Row],[Year]]+1/8+(Table2[[#This Row],[Quarter]]-1)/4</f>
        <v>1963.625</v>
      </c>
      <c r="E56">
        <f>Table2[[#This Row],[DecDate]]^2</f>
        <v>3855823.140625</v>
      </c>
      <c r="F56">
        <v>857</v>
      </c>
      <c r="G56">
        <f>LN(Table2[[#This Row],[Expenditure]])</f>
        <v>6.75343791859778</v>
      </c>
      <c r="H56">
        <f>$W$18+$W$19*Table2[[#This Row],[DecDate]]+$W$20*Table2[[#This Row],[DecDate2]]</f>
        <v>6.7837071336967369</v>
      </c>
      <c r="I56">
        <f>Table2[[#This Row],[Log Expenditure]]-Table2[[#This Row],[Quadratic Trend]]</f>
        <v>-3.026921509895697E-2</v>
      </c>
      <c r="J56">
        <f t="shared" si="0"/>
        <v>1.3723241395184261E-2</v>
      </c>
    </row>
    <row r="57" spans="1:10" x14ac:dyDescent="0.3">
      <c r="A57">
        <v>1963</v>
      </c>
      <c r="B57">
        <v>4</v>
      </c>
      <c r="C57" s="1">
        <f>DATE(Table2[[#This Row],[Year]],(Table2[[#This Row],[Quarter]]-1)*3+2,15)</f>
        <v>23330</v>
      </c>
      <c r="D57">
        <f>Table2[[#This Row],[Year]]+1/8+(Table2[[#This Row],[Quarter]]-1)/4</f>
        <v>1963.875</v>
      </c>
      <c r="E57">
        <f>Table2[[#This Row],[DecDate]]^2</f>
        <v>3856805.015625</v>
      </c>
      <c r="F57">
        <v>897</v>
      </c>
      <c r="G57">
        <f>LN(Table2[[#This Row],[Expenditure]])</f>
        <v>6.799055862058796</v>
      </c>
      <c r="H57">
        <f>$W$18+$W$19*Table2[[#This Row],[DecDate]]+$W$20*Table2[[#This Row],[DecDate2]]</f>
        <v>6.7869732411530777</v>
      </c>
      <c r="I57">
        <f>Table2[[#This Row],[Log Expenditure]]-Table2[[#This Row],[Quadratic Trend]]</f>
        <v>1.2082620905718322E-2</v>
      </c>
      <c r="J57">
        <f t="shared" si="0"/>
        <v>2.0076474211262331E-2</v>
      </c>
    </row>
    <row r="58" spans="1:10" x14ac:dyDescent="0.3">
      <c r="A58">
        <v>1964</v>
      </c>
      <c r="B58">
        <v>1</v>
      </c>
      <c r="C58" s="1">
        <f>DATE(Table2[[#This Row],[Year]],(Table2[[#This Row],[Quarter]]-1)*3+2,15)</f>
        <v>23422</v>
      </c>
      <c r="D58">
        <f>Table2[[#This Row],[Year]]+1/8+(Table2[[#This Row],[Quarter]]-1)/4</f>
        <v>1964.125</v>
      </c>
      <c r="E58">
        <f>Table2[[#This Row],[DecDate]]^2</f>
        <v>3857787.015625</v>
      </c>
      <c r="F58">
        <v>921</v>
      </c>
      <c r="G58">
        <f>LN(Table2[[#This Row],[Expenditure]])</f>
        <v>6.8254600362553068</v>
      </c>
      <c r="H58">
        <f>$W$18+$W$19*Table2[[#This Row],[DecDate]]+$W$20*Table2[[#This Row],[DecDate2]]</f>
        <v>6.79022563252704</v>
      </c>
      <c r="I58">
        <f>Table2[[#This Row],[Log Expenditure]]-Table2[[#This Row],[Quadratic Trend]]</f>
        <v>3.5234403728266805E-2</v>
      </c>
      <c r="J58">
        <f t="shared" si="0"/>
        <v>8.3026145531263744E-3</v>
      </c>
    </row>
    <row r="59" spans="1:10" x14ac:dyDescent="0.3">
      <c r="A59">
        <v>1964</v>
      </c>
      <c r="B59">
        <v>2</v>
      </c>
      <c r="C59" s="1">
        <f>DATE(Table2[[#This Row],[Year]],(Table2[[#This Row],[Quarter]]-1)*3+2,15)</f>
        <v>23512</v>
      </c>
      <c r="D59">
        <f>Table2[[#This Row],[Year]]+1/8+(Table2[[#This Row],[Quarter]]-1)/4</f>
        <v>1964.375</v>
      </c>
      <c r="E59">
        <f>Table2[[#This Row],[DecDate]]^2</f>
        <v>3858769.140625</v>
      </c>
      <c r="F59">
        <v>937</v>
      </c>
      <c r="G59">
        <f>LN(Table2[[#This Row],[Expenditure]])</f>
        <v>6.842683282238422</v>
      </c>
      <c r="H59">
        <f>$W$18+$W$19*Table2[[#This Row],[DecDate]]+$W$20*Table2[[#This Row],[DecDate2]]</f>
        <v>6.7934643078189083</v>
      </c>
      <c r="I59">
        <f>Table2[[#This Row],[Log Expenditure]]-Table2[[#This Row],[Quadratic Trend]]</f>
        <v>4.9218974419513728E-2</v>
      </c>
      <c r="J59">
        <f t="shared" si="0"/>
        <v>1.8597849993040504E-2</v>
      </c>
    </row>
    <row r="60" spans="1:10" x14ac:dyDescent="0.3">
      <c r="A60">
        <v>1964</v>
      </c>
      <c r="B60">
        <v>3</v>
      </c>
      <c r="C60" s="1">
        <f>DATE(Table2[[#This Row],[Year]],(Table2[[#This Row],[Quarter]]-1)*3+2,15)</f>
        <v>23604</v>
      </c>
      <c r="D60">
        <f>Table2[[#This Row],[Year]]+1/8+(Table2[[#This Row],[Quarter]]-1)/4</f>
        <v>1964.625</v>
      </c>
      <c r="E60">
        <f>Table2[[#This Row],[DecDate]]^2</f>
        <v>3859751.390625</v>
      </c>
      <c r="F60">
        <v>873</v>
      </c>
      <c r="G60">
        <f>LN(Table2[[#This Row],[Expenditure]])</f>
        <v>6.7719355558396019</v>
      </c>
      <c r="H60">
        <f>$W$18+$W$19*Table2[[#This Row],[DecDate]]+$W$20*Table2[[#This Row],[DecDate2]]</f>
        <v>6.7966892670285119</v>
      </c>
      <c r="I60">
        <f>Table2[[#This Row],[Log Expenditure]]-Table2[[#This Row],[Quadratic Trend]]</f>
        <v>-2.475371118891001E-2</v>
      </c>
      <c r="J60">
        <f t="shared" si="0"/>
        <v>2.7274725329996131E-2</v>
      </c>
    </row>
    <row r="61" spans="1:10" x14ac:dyDescent="0.3">
      <c r="A61">
        <v>1964</v>
      </c>
      <c r="B61">
        <v>4</v>
      </c>
      <c r="C61" s="1">
        <f>DATE(Table2[[#This Row],[Year]],(Table2[[#This Row],[Quarter]]-1)*3+2,15)</f>
        <v>23696</v>
      </c>
      <c r="D61">
        <f>Table2[[#This Row],[Year]]+1/8+(Table2[[#This Row],[Quarter]]-1)/4</f>
        <v>1964.875</v>
      </c>
      <c r="E61">
        <f>Table2[[#This Row],[DecDate]]^2</f>
        <v>3860733.765625</v>
      </c>
      <c r="F61">
        <v>917</v>
      </c>
      <c r="G61">
        <f>LN(Table2[[#This Row],[Expenditure]])</f>
        <v>6.8211074722564646</v>
      </c>
      <c r="H61">
        <f>$W$18+$W$19*Table2[[#This Row],[DecDate]]+$W$20*Table2[[#This Row],[DecDate2]]</f>
        <v>6.799900510155851</v>
      </c>
      <c r="I61">
        <f>Table2[[#This Row],[Log Expenditure]]-Table2[[#This Row],[Quadratic Trend]]</f>
        <v>2.120696210061368E-2</v>
      </c>
      <c r="J61">
        <f t="shared" si="0"/>
        <v>3.1313743047741836E-2</v>
      </c>
    </row>
    <row r="62" spans="1:10" x14ac:dyDescent="0.3">
      <c r="A62">
        <v>1965</v>
      </c>
      <c r="B62">
        <v>1</v>
      </c>
      <c r="C62" s="1">
        <f>DATE(Table2[[#This Row],[Year]],(Table2[[#This Row],[Quarter]]-1)*3+2,15)</f>
        <v>23788</v>
      </c>
      <c r="D62">
        <f>Table2[[#This Row],[Year]]+1/8+(Table2[[#This Row],[Quarter]]-1)/4</f>
        <v>1965.125</v>
      </c>
      <c r="E62">
        <f>Table2[[#This Row],[DecDate]]^2</f>
        <v>3861716.265625</v>
      </c>
      <c r="F62">
        <v>952</v>
      </c>
      <c r="G62">
        <f>LN(Table2[[#This Row],[Expenditure]])</f>
        <v>6.8585650347913649</v>
      </c>
      <c r="H62">
        <f>$W$18+$W$19*Table2[[#This Row],[DecDate]]+$W$20*Table2[[#This Row],[DecDate2]]</f>
        <v>6.8030980372008685</v>
      </c>
      <c r="I62">
        <f>Table2[[#This Row],[Log Expenditure]]-Table2[[#This Row],[Quadratic Trend]]</f>
        <v>5.5466997590496447E-2</v>
      </c>
      <c r="J62">
        <f t="shared" si="0"/>
        <v>1.8048445049122109E-2</v>
      </c>
    </row>
    <row r="63" spans="1:10" x14ac:dyDescent="0.3">
      <c r="A63">
        <v>1965</v>
      </c>
      <c r="B63">
        <v>2</v>
      </c>
      <c r="C63" s="1">
        <f>DATE(Table2[[#This Row],[Year]],(Table2[[#This Row],[Quarter]]-1)*3+2,15)</f>
        <v>23877</v>
      </c>
      <c r="D63">
        <f>Table2[[#This Row],[Year]]+1/8+(Table2[[#This Row],[Quarter]]-1)/4</f>
        <v>1965.375</v>
      </c>
      <c r="E63">
        <f>Table2[[#This Row],[DecDate]]^2</f>
        <v>3862698.890625</v>
      </c>
      <c r="F63">
        <v>955</v>
      </c>
      <c r="G63">
        <f>LN(Table2[[#This Row],[Expenditure]])</f>
        <v>6.8617113404807304</v>
      </c>
      <c r="H63">
        <f>$W$18+$W$19*Table2[[#This Row],[DecDate]]+$W$20*Table2[[#This Row],[DecDate2]]</f>
        <v>6.806281848163735</v>
      </c>
      <c r="I63">
        <f>Table2[[#This Row],[Log Expenditure]]-Table2[[#This Row],[Quadratic Trend]]</f>
        <v>5.5429492316995344E-2</v>
      </c>
      <c r="J63">
        <f t="shared" si="0"/>
        <v>2.4917001042467392E-2</v>
      </c>
    </row>
    <row r="64" spans="1:10" x14ac:dyDescent="0.3">
      <c r="A64">
        <v>1965</v>
      </c>
      <c r="B64">
        <v>3</v>
      </c>
      <c r="C64" s="1">
        <f>DATE(Table2[[#This Row],[Year]],(Table2[[#This Row],[Quarter]]-1)*3+2,15)</f>
        <v>23969</v>
      </c>
      <c r="D64">
        <f>Table2[[#This Row],[Year]]+1/8+(Table2[[#This Row],[Quarter]]-1)/4</f>
        <v>1965.625</v>
      </c>
      <c r="E64">
        <f>Table2[[#This Row],[DecDate]]^2</f>
        <v>3863681.640625</v>
      </c>
      <c r="F64">
        <v>891</v>
      </c>
      <c r="G64">
        <f>LN(Table2[[#This Row],[Expenditure]])</f>
        <v>6.7923444274708089</v>
      </c>
      <c r="H64">
        <f>$W$18+$W$19*Table2[[#This Row],[DecDate]]+$W$20*Table2[[#This Row],[DecDate2]]</f>
        <v>6.8094519430443938</v>
      </c>
      <c r="I64">
        <f>Table2[[#This Row],[Log Expenditure]]-Table2[[#This Row],[Quadratic Trend]]</f>
        <v>-1.7107515573584919E-2</v>
      </c>
      <c r="J64">
        <f t="shared" si="0"/>
        <v>2.9448392441412886E-2</v>
      </c>
    </row>
    <row r="65" spans="1:10" x14ac:dyDescent="0.3">
      <c r="A65">
        <v>1965</v>
      </c>
      <c r="B65">
        <v>4</v>
      </c>
      <c r="C65" s="1">
        <f>DATE(Table2[[#This Row],[Year]],(Table2[[#This Row],[Quarter]]-1)*3+2,15)</f>
        <v>24061</v>
      </c>
      <c r="D65">
        <f>Table2[[#This Row],[Year]]+1/8+(Table2[[#This Row],[Quarter]]-1)/4</f>
        <v>1965.875</v>
      </c>
      <c r="E65">
        <f>Table2[[#This Row],[DecDate]]^2</f>
        <v>3864664.515625</v>
      </c>
      <c r="F65">
        <v>918</v>
      </c>
      <c r="G65">
        <f>LN(Table2[[#This Row],[Expenditure]])</f>
        <v>6.8221973906204907</v>
      </c>
      <c r="H65">
        <f>$W$18+$W$19*Table2[[#This Row],[DecDate]]+$W$20*Table2[[#This Row],[DecDate2]]</f>
        <v>6.8126083218426743</v>
      </c>
      <c r="I65">
        <f>Table2[[#This Row],[Log Expenditure]]-Table2[[#This Row],[Quadratic Trend]]</f>
        <v>9.5890687778164008E-3</v>
      </c>
      <c r="J65">
        <f t="shared" si="0"/>
        <v>2.9211773527260655E-2</v>
      </c>
    </row>
    <row r="66" spans="1:10" x14ac:dyDescent="0.3">
      <c r="A66">
        <v>1966</v>
      </c>
      <c r="B66">
        <v>1</v>
      </c>
      <c r="C66" s="1">
        <f>DATE(Table2[[#This Row],[Year]],(Table2[[#This Row],[Quarter]]-1)*3+2,15)</f>
        <v>24153</v>
      </c>
      <c r="D66">
        <f>Table2[[#This Row],[Year]]+1/8+(Table2[[#This Row],[Quarter]]-1)/4</f>
        <v>1966.125</v>
      </c>
      <c r="E66">
        <f>Table2[[#This Row],[DecDate]]^2</f>
        <v>3865647.515625</v>
      </c>
      <c r="F66">
        <v>953</v>
      </c>
      <c r="G66">
        <f>LN(Table2[[#This Row],[Expenditure]])</f>
        <v>6.8596149036542018</v>
      </c>
      <c r="H66">
        <f>$W$18+$W$19*Table2[[#This Row],[DecDate]]+$W$20*Table2[[#This Row],[DecDate2]]</f>
        <v>6.8157509845588606</v>
      </c>
      <c r="I66">
        <f>Table2[[#This Row],[Log Expenditure]]-Table2[[#This Row],[Quadratic Trend]]</f>
        <v>4.3863919095341153E-2</v>
      </c>
      <c r="J66">
        <f t="shared" si="0"/>
        <v>1.264415889026207E-2</v>
      </c>
    </row>
    <row r="67" spans="1:10" x14ac:dyDescent="0.3">
      <c r="A67">
        <v>1966</v>
      </c>
      <c r="B67">
        <v>2</v>
      </c>
      <c r="C67" s="1">
        <f>DATE(Table2[[#This Row],[Year]],(Table2[[#This Row],[Quarter]]-1)*3+2,15)</f>
        <v>24242</v>
      </c>
      <c r="D67">
        <f>Table2[[#This Row],[Year]]+1/8+(Table2[[#This Row],[Quarter]]-1)/4</f>
        <v>1966.375</v>
      </c>
      <c r="E67">
        <f>Table2[[#This Row],[DecDate]]^2</f>
        <v>3866630.640625</v>
      </c>
      <c r="F67">
        <v>966</v>
      </c>
      <c r="G67">
        <f>LN(Table2[[#This Row],[Expenditure]])</f>
        <v>6.8731638342125176</v>
      </c>
      <c r="H67">
        <f>$W$18+$W$19*Table2[[#This Row],[DecDate]]+$W$20*Table2[[#This Row],[DecDate2]]</f>
        <v>6.8188799311927824</v>
      </c>
      <c r="I67">
        <f>Table2[[#This Row],[Log Expenditure]]-Table2[[#This Row],[Quadratic Trend]]</f>
        <v>5.4283903019735291E-2</v>
      </c>
      <c r="J67">
        <f t="shared" si="0"/>
        <v>1.6355371473531478E-2</v>
      </c>
    </row>
    <row r="68" spans="1:10" x14ac:dyDescent="0.3">
      <c r="A68">
        <v>1966</v>
      </c>
      <c r="B68">
        <v>3</v>
      </c>
      <c r="C68" s="1">
        <f>DATE(Table2[[#This Row],[Year]],(Table2[[#This Row],[Quarter]]-1)*3+2,15)</f>
        <v>24334</v>
      </c>
      <c r="D68">
        <f>Table2[[#This Row],[Year]]+1/8+(Table2[[#This Row],[Quarter]]-1)/4</f>
        <v>1966.625</v>
      </c>
      <c r="E68">
        <f>Table2[[#This Row],[DecDate]]^2</f>
        <v>3867613.890625</v>
      </c>
      <c r="F68">
        <v>893</v>
      </c>
      <c r="G68">
        <f>LN(Table2[[#This Row],[Expenditure]])</f>
        <v>6.7945865808764987</v>
      </c>
      <c r="H68">
        <f>$W$18+$W$19*Table2[[#This Row],[DecDate]]+$W$20*Table2[[#This Row],[DecDate2]]</f>
        <v>6.8219951617444963</v>
      </c>
      <c r="I68">
        <f>Table2[[#This Row],[Log Expenditure]]-Table2[[#This Row],[Quadratic Trend]]</f>
        <v>-2.7408580867997578E-2</v>
      </c>
      <c r="J68">
        <f t="shared" si="0"/>
        <v>2.0513669756037876E-2</v>
      </c>
    </row>
    <row r="69" spans="1:10" x14ac:dyDescent="0.3">
      <c r="A69">
        <v>1966</v>
      </c>
      <c r="B69">
        <v>4</v>
      </c>
      <c r="C69" s="1">
        <f>DATE(Table2[[#This Row],[Year]],(Table2[[#This Row],[Quarter]]-1)*3+2,15)</f>
        <v>24426</v>
      </c>
      <c r="D69">
        <f>Table2[[#This Row],[Year]]+1/8+(Table2[[#This Row],[Quarter]]-1)/4</f>
        <v>1966.875</v>
      </c>
      <c r="E69">
        <f>Table2[[#This Row],[DecDate]]^2</f>
        <v>3868597.265625</v>
      </c>
      <c r="F69">
        <v>922</v>
      </c>
      <c r="G69">
        <f>LN(Table2[[#This Row],[Expenditure]])</f>
        <v>6.826545223556594</v>
      </c>
      <c r="H69">
        <f>$W$18+$W$19*Table2[[#This Row],[DecDate]]+$W$20*Table2[[#This Row],[DecDate2]]</f>
        <v>6.8250966762138319</v>
      </c>
      <c r="I69">
        <f>Table2[[#This Row],[Log Expenditure]]-Table2[[#This Row],[Quadratic Trend]]</f>
        <v>1.4485473427621187E-3</v>
      </c>
      <c r="J69">
        <f t="shared" ref="J69:J132" si="1">AVERAGE(I67:I71)</f>
        <v>1.949985691539613E-2</v>
      </c>
    </row>
    <row r="70" spans="1:10" x14ac:dyDescent="0.3">
      <c r="A70">
        <v>1967</v>
      </c>
      <c r="B70">
        <v>1</v>
      </c>
      <c r="C70" s="1">
        <f>DATE(Table2[[#This Row],[Year]],(Table2[[#This Row],[Quarter]]-1)*3+2,15)</f>
        <v>24518</v>
      </c>
      <c r="D70">
        <f>Table2[[#This Row],[Year]]+1/8+(Table2[[#This Row],[Quarter]]-1)/4</f>
        <v>1967.125</v>
      </c>
      <c r="E70">
        <f>Table2[[#This Row],[DecDate]]^2</f>
        <v>3869580.765625</v>
      </c>
      <c r="F70">
        <v>952</v>
      </c>
      <c r="G70">
        <f>LN(Table2[[#This Row],[Expenditure]])</f>
        <v>6.8585650347913649</v>
      </c>
      <c r="H70">
        <f>$W$18+$W$19*Table2[[#This Row],[DecDate]]+$W$20*Table2[[#This Row],[DecDate2]]</f>
        <v>6.8281844746010165</v>
      </c>
      <c r="I70">
        <f>Table2[[#This Row],[Log Expenditure]]-Table2[[#This Row],[Quadratic Trend]]</f>
        <v>3.0380560190348405E-2</v>
      </c>
      <c r="J70">
        <f t="shared" si="1"/>
        <v>3.3662804256930912E-3</v>
      </c>
    </row>
    <row r="71" spans="1:10" x14ac:dyDescent="0.3">
      <c r="A71">
        <v>1967</v>
      </c>
      <c r="B71">
        <v>2</v>
      </c>
      <c r="C71" s="1">
        <f>DATE(Table2[[#This Row],[Year]],(Table2[[#This Row],[Quarter]]-1)*3+2,15)</f>
        <v>24607</v>
      </c>
      <c r="D71">
        <f>Table2[[#This Row],[Year]]+1/8+(Table2[[#This Row],[Quarter]]-1)/4</f>
        <v>1967.375</v>
      </c>
      <c r="E71">
        <f>Table2[[#This Row],[DecDate]]^2</f>
        <v>3870564.390625</v>
      </c>
      <c r="F71">
        <v>963</v>
      </c>
      <c r="G71">
        <f>LN(Table2[[#This Row],[Expenditure]])</f>
        <v>6.8700534117981258</v>
      </c>
      <c r="H71">
        <f>$W$18+$W$19*Table2[[#This Row],[DecDate]]+$W$20*Table2[[#This Row],[DecDate2]]</f>
        <v>6.8312585569059934</v>
      </c>
      <c r="I71">
        <f>Table2[[#This Row],[Log Expenditure]]-Table2[[#This Row],[Quadratic Trend]]</f>
        <v>3.8794854892132413E-2</v>
      </c>
      <c r="J71">
        <f t="shared" si="1"/>
        <v>7.7655950586443369E-3</v>
      </c>
    </row>
    <row r="72" spans="1:10" x14ac:dyDescent="0.3">
      <c r="A72">
        <v>1967</v>
      </c>
      <c r="B72">
        <v>3</v>
      </c>
      <c r="C72" s="1">
        <f>DATE(Table2[[#This Row],[Year]],(Table2[[#This Row],[Quarter]]-1)*3+2,15)</f>
        <v>24699</v>
      </c>
      <c r="D72">
        <f>Table2[[#This Row],[Year]]+1/8+(Table2[[#This Row],[Quarter]]-1)/4</f>
        <v>1967.625</v>
      </c>
      <c r="E72">
        <f>Table2[[#This Row],[DecDate]]^2</f>
        <v>3871548.140625</v>
      </c>
      <c r="F72">
        <v>905</v>
      </c>
      <c r="G72">
        <f>LN(Table2[[#This Row],[Expenditure]])</f>
        <v>6.8079349436999257</v>
      </c>
      <c r="H72">
        <f>$W$18+$W$19*Table2[[#This Row],[DecDate]]+$W$20*Table2[[#This Row],[DecDate2]]</f>
        <v>6.8343189231287056</v>
      </c>
      <c r="I72">
        <f>Table2[[#This Row],[Log Expenditure]]-Table2[[#This Row],[Quadratic Trend]]</f>
        <v>-2.6383979428779902E-2</v>
      </c>
      <c r="J72">
        <f t="shared" si="1"/>
        <v>1.3821804392421911E-2</v>
      </c>
    </row>
    <row r="73" spans="1:10" x14ac:dyDescent="0.3">
      <c r="A73">
        <v>1967</v>
      </c>
      <c r="B73">
        <v>4</v>
      </c>
      <c r="C73" s="1">
        <f>DATE(Table2[[#This Row],[Year]],(Table2[[#This Row],[Quarter]]-1)*3+2,15)</f>
        <v>24791</v>
      </c>
      <c r="D73">
        <f>Table2[[#This Row],[Year]]+1/8+(Table2[[#This Row],[Quarter]]-1)/4</f>
        <v>1967.875</v>
      </c>
      <c r="E73">
        <f>Table2[[#This Row],[DecDate]]^2</f>
        <v>3872532.015625</v>
      </c>
      <c r="F73">
        <v>927</v>
      </c>
      <c r="G73">
        <f>LN(Table2[[#This Row],[Expenditure]])</f>
        <v>6.831953565565855</v>
      </c>
      <c r="H73">
        <f>$W$18+$W$19*Table2[[#This Row],[DecDate]]+$W$20*Table2[[#This Row],[DecDate2]]</f>
        <v>6.8373655732690963</v>
      </c>
      <c r="I73">
        <f>Table2[[#This Row],[Log Expenditure]]-Table2[[#This Row],[Quadratic Trend]]</f>
        <v>-5.4120077032413505E-3</v>
      </c>
      <c r="J73">
        <f t="shared" si="1"/>
        <v>1.7387326704129256E-2</v>
      </c>
    </row>
    <row r="74" spans="1:10" x14ac:dyDescent="0.3">
      <c r="A74">
        <v>1968</v>
      </c>
      <c r="B74">
        <v>1</v>
      </c>
      <c r="C74" s="1">
        <f>DATE(Table2[[#This Row],[Year]],(Table2[[#This Row],[Quarter]]-1)*3+2,15)</f>
        <v>24883</v>
      </c>
      <c r="D74">
        <f>Table2[[#This Row],[Year]]+1/8+(Table2[[#This Row],[Quarter]]-1)/4</f>
        <v>1968.125</v>
      </c>
      <c r="E74">
        <f>Table2[[#This Row],[DecDate]]^2</f>
        <v>3873516.015625</v>
      </c>
      <c r="F74">
        <v>965</v>
      </c>
      <c r="G74">
        <f>LN(Table2[[#This Row],[Expenditure]])</f>
        <v>6.8721281013389861</v>
      </c>
      <c r="H74">
        <f>$W$18+$W$19*Table2[[#This Row],[DecDate]]+$W$20*Table2[[#This Row],[DecDate2]]</f>
        <v>6.8403985073273361</v>
      </c>
      <c r="I74">
        <f>Table2[[#This Row],[Log Expenditure]]-Table2[[#This Row],[Quadratic Trend]]</f>
        <v>3.1729594011649986E-2</v>
      </c>
      <c r="J74">
        <f t="shared" si="1"/>
        <v>2.3722003093256559E-3</v>
      </c>
    </row>
    <row r="75" spans="1:10" x14ac:dyDescent="0.3">
      <c r="A75">
        <v>1968</v>
      </c>
      <c r="B75">
        <v>2</v>
      </c>
      <c r="C75" s="1">
        <f>DATE(Table2[[#This Row],[Year]],(Table2[[#This Row],[Quarter]]-1)*3+2,15)</f>
        <v>24973</v>
      </c>
      <c r="D75">
        <f>Table2[[#This Row],[Year]]+1/8+(Table2[[#This Row],[Quarter]]-1)/4</f>
        <v>1968.375</v>
      </c>
      <c r="E75">
        <f>Table2[[#This Row],[DecDate]]^2</f>
        <v>3874500.140625</v>
      </c>
      <c r="F75">
        <v>984</v>
      </c>
      <c r="G75">
        <f>LN(Table2[[#This Row],[Expenditure]])</f>
        <v>6.8916258970522533</v>
      </c>
      <c r="H75">
        <f>$W$18+$W$19*Table2[[#This Row],[DecDate]]+$W$20*Table2[[#This Row],[DecDate2]]</f>
        <v>6.8434177253033681</v>
      </c>
      <c r="I75">
        <f>Table2[[#This Row],[Log Expenditure]]-Table2[[#This Row],[Quadratic Trend]]</f>
        <v>4.8208171748885142E-2</v>
      </c>
      <c r="J75">
        <f t="shared" si="1"/>
        <v>6.7290894350293231E-3</v>
      </c>
    </row>
    <row r="76" spans="1:10" x14ac:dyDescent="0.3">
      <c r="A76">
        <v>1968</v>
      </c>
      <c r="B76">
        <v>3</v>
      </c>
      <c r="C76" s="1">
        <f>DATE(Table2[[#This Row],[Year]],(Table2[[#This Row],[Quarter]]-1)*3+2,15)</f>
        <v>25065</v>
      </c>
      <c r="D76">
        <f>Table2[[#This Row],[Year]]+1/8+(Table2[[#This Row],[Quarter]]-1)/4</f>
        <v>1968.625</v>
      </c>
      <c r="E76">
        <f>Table2[[#This Row],[DecDate]]^2</f>
        <v>3875484.390625</v>
      </c>
      <c r="F76">
        <v>907</v>
      </c>
      <c r="G76">
        <f>LN(Table2[[#This Row],[Expenditure]])</f>
        <v>6.8101424501151362</v>
      </c>
      <c r="H76">
        <f>$W$18+$W$19*Table2[[#This Row],[DecDate]]+$W$20*Table2[[#This Row],[DecDate2]]</f>
        <v>6.8464232271970218</v>
      </c>
      <c r="I76">
        <f>Table2[[#This Row],[Log Expenditure]]-Table2[[#This Row],[Quadratic Trend]]</f>
        <v>-3.6280777081885596E-2</v>
      </c>
      <c r="J76">
        <f t="shared" si="1"/>
        <v>1.1551133350222819E-2</v>
      </c>
    </row>
    <row r="77" spans="1:10" x14ac:dyDescent="0.3">
      <c r="A77">
        <v>1968</v>
      </c>
      <c r="B77">
        <v>4</v>
      </c>
      <c r="C77" s="1">
        <f>DATE(Table2[[#This Row],[Year]],(Table2[[#This Row],[Quarter]]-1)*3+2,15)</f>
        <v>25157</v>
      </c>
      <c r="D77">
        <f>Table2[[#This Row],[Year]]+1/8+(Table2[[#This Row],[Quarter]]-1)/4</f>
        <v>1968.875</v>
      </c>
      <c r="E77">
        <f>Table2[[#This Row],[DecDate]]^2</f>
        <v>3876468.765625</v>
      </c>
      <c r="F77">
        <v>939</v>
      </c>
      <c r="G77">
        <f>LN(Table2[[#This Row],[Expenditure]])</f>
        <v>6.8448154792082629</v>
      </c>
      <c r="H77">
        <f>$W$18+$W$19*Table2[[#This Row],[DecDate]]+$W$20*Table2[[#This Row],[DecDate2]]</f>
        <v>6.8494150130085245</v>
      </c>
      <c r="I77">
        <f>Table2[[#This Row],[Log Expenditure]]-Table2[[#This Row],[Quadratic Trend]]</f>
        <v>-4.5995338002615682E-3</v>
      </c>
      <c r="J77">
        <f t="shared" si="1"/>
        <v>1.2051988941816028E-2</v>
      </c>
    </row>
    <row r="78" spans="1:10" x14ac:dyDescent="0.3">
      <c r="A78">
        <v>1969</v>
      </c>
      <c r="B78">
        <v>1</v>
      </c>
      <c r="C78" s="1">
        <f>DATE(Table2[[#This Row],[Year]],(Table2[[#This Row],[Quarter]]-1)*3+2,15)</f>
        <v>25249</v>
      </c>
      <c r="D78">
        <f>Table2[[#This Row],[Year]]+1/8+(Table2[[#This Row],[Quarter]]-1)/4</f>
        <v>1969.125</v>
      </c>
      <c r="E78">
        <f>Table2[[#This Row],[DecDate]]^2</f>
        <v>3877453.265625</v>
      </c>
      <c r="F78">
        <v>964</v>
      </c>
      <c r="G78">
        <f>LN(Table2[[#This Row],[Expenditure]])</f>
        <v>6.8710912946105456</v>
      </c>
      <c r="H78">
        <f>$W$18+$W$19*Table2[[#This Row],[DecDate]]+$W$20*Table2[[#This Row],[DecDate2]]</f>
        <v>6.8523930827378194</v>
      </c>
      <c r="I78">
        <f>Table2[[#This Row],[Log Expenditure]]-Table2[[#This Row],[Quadratic Trend]]</f>
        <v>1.8698211872726134E-2</v>
      </c>
      <c r="J78">
        <f t="shared" si="1"/>
        <v>-5.6851459070427881E-3</v>
      </c>
    </row>
    <row r="79" spans="1:10" x14ac:dyDescent="0.3">
      <c r="A79">
        <v>1969</v>
      </c>
      <c r="B79">
        <v>2</v>
      </c>
      <c r="C79" s="1">
        <f>DATE(Table2[[#This Row],[Year]],(Table2[[#This Row],[Quarter]]-1)*3+2,15)</f>
        <v>25338</v>
      </c>
      <c r="D79">
        <f>Table2[[#This Row],[Year]]+1/8+(Table2[[#This Row],[Quarter]]-1)/4</f>
        <v>1969.375</v>
      </c>
      <c r="E79">
        <f>Table2[[#This Row],[DecDate]]^2</f>
        <v>3878437.890625</v>
      </c>
      <c r="F79">
        <v>982</v>
      </c>
      <c r="G79">
        <f>LN(Table2[[#This Row],[Expenditure]])</f>
        <v>6.8895913083544658</v>
      </c>
      <c r="H79">
        <f>$W$18+$W$19*Table2[[#This Row],[DecDate]]+$W$20*Table2[[#This Row],[DecDate2]]</f>
        <v>6.8553574363848497</v>
      </c>
      <c r="I79">
        <f>Table2[[#This Row],[Log Expenditure]]-Table2[[#This Row],[Quadratic Trend]]</f>
        <v>3.4233871969616025E-2</v>
      </c>
      <c r="J79">
        <f t="shared" si="1"/>
        <v>1.2449911537400383E-3</v>
      </c>
    </row>
    <row r="80" spans="1:10" x14ac:dyDescent="0.3">
      <c r="A80">
        <v>1969</v>
      </c>
      <c r="B80">
        <v>3</v>
      </c>
      <c r="C80" s="1">
        <f>DATE(Table2[[#This Row],[Year]],(Table2[[#This Row],[Quarter]]-1)*3+2,15)</f>
        <v>25430</v>
      </c>
      <c r="D80">
        <f>Table2[[#This Row],[Year]]+1/8+(Table2[[#This Row],[Quarter]]-1)/4</f>
        <v>1969.625</v>
      </c>
      <c r="E80">
        <f>Table2[[#This Row],[DecDate]]^2</f>
        <v>3879422.640625</v>
      </c>
      <c r="F80">
        <v>914</v>
      </c>
      <c r="G80">
        <f>LN(Table2[[#This Row],[Expenditure]])</f>
        <v>6.8178305714541496</v>
      </c>
      <c r="H80">
        <f>$W$18+$W$19*Table2[[#This Row],[DecDate]]+$W$20*Table2[[#This Row],[DecDate2]]</f>
        <v>6.8583080739495585</v>
      </c>
      <c r="I80">
        <f>Table2[[#This Row],[Log Expenditure]]-Table2[[#This Row],[Quadratic Trend]]</f>
        <v>-4.0477502495408935E-2</v>
      </c>
      <c r="J80">
        <f t="shared" si="1"/>
        <v>6.4331917542626016E-3</v>
      </c>
    </row>
    <row r="81" spans="1:10" x14ac:dyDescent="0.3">
      <c r="A81">
        <v>1969</v>
      </c>
      <c r="B81">
        <v>4</v>
      </c>
      <c r="C81" s="1">
        <f>DATE(Table2[[#This Row],[Year]],(Table2[[#This Row],[Quarter]]-1)*3+2,15)</f>
        <v>25522</v>
      </c>
      <c r="D81">
        <f>Table2[[#This Row],[Year]]+1/8+(Table2[[#This Row],[Quarter]]-1)/4</f>
        <v>1969.875</v>
      </c>
      <c r="E81">
        <f>Table2[[#This Row],[DecDate]]^2</f>
        <v>3880407.515625</v>
      </c>
      <c r="F81">
        <v>953</v>
      </c>
      <c r="G81">
        <f>LN(Table2[[#This Row],[Expenditure]])</f>
        <v>6.8596149036542018</v>
      </c>
      <c r="H81">
        <f>$W$18+$W$19*Table2[[#This Row],[DecDate]]+$W$20*Table2[[#This Row],[DecDate2]]</f>
        <v>6.8612449954321733</v>
      </c>
      <c r="I81">
        <f>Table2[[#This Row],[Log Expenditure]]-Table2[[#This Row],[Quadratic Trend]]</f>
        <v>-1.6300917779714652E-3</v>
      </c>
      <c r="J81">
        <f t="shared" si="1"/>
        <v>8.4145508991806395E-3</v>
      </c>
    </row>
    <row r="82" spans="1:10" x14ac:dyDescent="0.3">
      <c r="A82">
        <v>1970</v>
      </c>
      <c r="B82">
        <v>1</v>
      </c>
      <c r="C82" s="1">
        <f>DATE(Table2[[#This Row],[Year]],(Table2[[#This Row],[Quarter]]-1)*3+2,15)</f>
        <v>25614</v>
      </c>
      <c r="D82">
        <f>Table2[[#This Row],[Year]]+1/8+(Table2[[#This Row],[Quarter]]-1)/4</f>
        <v>1970.125</v>
      </c>
      <c r="E82">
        <f>Table2[[#This Row],[DecDate]]^2</f>
        <v>3881392.515625</v>
      </c>
      <c r="F82">
        <v>978</v>
      </c>
      <c r="G82">
        <f>LN(Table2[[#This Row],[Expenditure]])</f>
        <v>6.8855096700348177</v>
      </c>
      <c r="H82">
        <f>$W$18+$W$19*Table2[[#This Row],[DecDate]]+$W$20*Table2[[#This Row],[DecDate2]]</f>
        <v>6.8641682008324665</v>
      </c>
      <c r="I82">
        <f>Table2[[#This Row],[Log Expenditure]]-Table2[[#This Row],[Quadratic Trend]]</f>
        <v>2.1341469202351249E-2</v>
      </c>
      <c r="J82">
        <f t="shared" si="1"/>
        <v>-9.5183367200140975E-3</v>
      </c>
    </row>
    <row r="83" spans="1:10" x14ac:dyDescent="0.3">
      <c r="A83">
        <v>1970</v>
      </c>
      <c r="B83">
        <v>2</v>
      </c>
      <c r="C83" s="1">
        <f>DATE(Table2[[#This Row],[Year]],(Table2[[#This Row],[Quarter]]-1)*3+2,15)</f>
        <v>25703</v>
      </c>
      <c r="D83">
        <f>Table2[[#This Row],[Year]]+1/8+(Table2[[#This Row],[Quarter]]-1)/4</f>
        <v>1970.375</v>
      </c>
      <c r="E83">
        <f>Table2[[#This Row],[DecDate]]^2</f>
        <v>3882377.640625</v>
      </c>
      <c r="F83">
        <v>988</v>
      </c>
      <c r="G83">
        <f>LN(Table2[[#This Row],[Expenditure]])</f>
        <v>6.8956826977478682</v>
      </c>
      <c r="H83">
        <f>$W$18+$W$19*Table2[[#This Row],[DecDate]]+$W$20*Table2[[#This Row],[DecDate2]]</f>
        <v>6.8670776901505519</v>
      </c>
      <c r="I83">
        <f>Table2[[#This Row],[Log Expenditure]]-Table2[[#This Row],[Quadratic Trend]]</f>
        <v>2.8605007597316323E-2</v>
      </c>
      <c r="J83">
        <f t="shared" si="1"/>
        <v>-5.1230398779138044E-3</v>
      </c>
    </row>
    <row r="84" spans="1:10" x14ac:dyDescent="0.3">
      <c r="A84">
        <v>1970</v>
      </c>
      <c r="B84">
        <v>3</v>
      </c>
      <c r="C84" s="1">
        <f>DATE(Table2[[#This Row],[Year]],(Table2[[#This Row],[Quarter]]-1)*3+2,15)</f>
        <v>25795</v>
      </c>
      <c r="D84">
        <f>Table2[[#This Row],[Year]]+1/8+(Table2[[#This Row],[Quarter]]-1)/4</f>
        <v>1970.625</v>
      </c>
      <c r="E84">
        <f>Table2[[#This Row],[DecDate]]^2</f>
        <v>3883362.890625</v>
      </c>
      <c r="F84">
        <v>911</v>
      </c>
      <c r="G84">
        <f>LN(Table2[[#This Row],[Expenditure]])</f>
        <v>6.8145428972599582</v>
      </c>
      <c r="H84">
        <f>$W$18+$W$19*Table2[[#This Row],[DecDate]]+$W$20*Table2[[#This Row],[DecDate2]]</f>
        <v>6.8699734633863159</v>
      </c>
      <c r="I84">
        <f>Table2[[#This Row],[Log Expenditure]]-Table2[[#This Row],[Quadratic Trend]]</f>
        <v>-5.5430566126357661E-2</v>
      </c>
      <c r="J84">
        <f t="shared" si="1"/>
        <v>-1.007785957878582E-3</v>
      </c>
    </row>
    <row r="85" spans="1:10" x14ac:dyDescent="0.3">
      <c r="A85">
        <v>1970</v>
      </c>
      <c r="B85">
        <v>4</v>
      </c>
      <c r="C85" s="1">
        <f>DATE(Table2[[#This Row],[Year]],(Table2[[#This Row],[Quarter]]-1)*3+2,15)</f>
        <v>25887</v>
      </c>
      <c r="D85">
        <f>Table2[[#This Row],[Year]]+1/8+(Table2[[#This Row],[Quarter]]-1)/4</f>
        <v>1970.875</v>
      </c>
      <c r="E85">
        <f>Table2[[#This Row],[DecDate]]^2</f>
        <v>3884348.265625</v>
      </c>
      <c r="F85">
        <v>948</v>
      </c>
      <c r="G85">
        <f>LN(Table2[[#This Row],[Expenditure]])</f>
        <v>6.8543545022550214</v>
      </c>
      <c r="H85">
        <f>$W$18+$W$19*Table2[[#This Row],[DecDate]]+$W$20*Table2[[#This Row],[DecDate2]]</f>
        <v>6.8728555205399289</v>
      </c>
      <c r="I85">
        <f>Table2[[#This Row],[Log Expenditure]]-Table2[[#This Row],[Quadratic Trend]]</f>
        <v>-1.8501018284907467E-2</v>
      </c>
      <c r="J85">
        <f t="shared" si="1"/>
        <v>-1.0471556614351841E-3</v>
      </c>
    </row>
    <row r="86" spans="1:10" x14ac:dyDescent="0.3">
      <c r="A86">
        <v>1971</v>
      </c>
      <c r="B86">
        <v>1</v>
      </c>
      <c r="C86" s="1">
        <f>DATE(Table2[[#This Row],[Year]],(Table2[[#This Row],[Quarter]]-1)*3+2,15)</f>
        <v>25979</v>
      </c>
      <c r="D86">
        <f>Table2[[#This Row],[Year]]+1/8+(Table2[[#This Row],[Quarter]]-1)/4</f>
        <v>1971.125</v>
      </c>
      <c r="E86">
        <f>Table2[[#This Row],[DecDate]]^2</f>
        <v>3885333.765625</v>
      </c>
      <c r="F86">
        <v>987</v>
      </c>
      <c r="G86">
        <f>LN(Table2[[#This Row],[Expenditure]])</f>
        <v>6.8946700394334819</v>
      </c>
      <c r="H86">
        <f>$W$18+$W$19*Table2[[#This Row],[DecDate]]+$W$20*Table2[[#This Row],[DecDate2]]</f>
        <v>6.8757238616112772</v>
      </c>
      <c r="I86">
        <f>Table2[[#This Row],[Log Expenditure]]-Table2[[#This Row],[Quadratic Trend]]</f>
        <v>1.8946177822204646E-2</v>
      </c>
      <c r="J86">
        <f t="shared" si="1"/>
        <v>-1.8612558158247694E-2</v>
      </c>
    </row>
    <row r="87" spans="1:10" x14ac:dyDescent="0.3">
      <c r="A87">
        <v>1971</v>
      </c>
      <c r="B87">
        <v>2</v>
      </c>
      <c r="C87" s="1">
        <f>DATE(Table2[[#This Row],[Year]],(Table2[[#This Row],[Quarter]]-1)*3+2,15)</f>
        <v>26068</v>
      </c>
      <c r="D87">
        <f>Table2[[#This Row],[Year]]+1/8+(Table2[[#This Row],[Quarter]]-1)/4</f>
        <v>1971.375</v>
      </c>
      <c r="E87">
        <f>Table2[[#This Row],[DecDate]]^2</f>
        <v>3886319.390625</v>
      </c>
      <c r="F87">
        <v>992</v>
      </c>
      <c r="G87">
        <f>LN(Table2[[#This Row],[Expenditure]])</f>
        <v>6.8997231072848724</v>
      </c>
      <c r="H87">
        <f>$W$18+$W$19*Table2[[#This Row],[DecDate]]+$W$20*Table2[[#This Row],[DecDate2]]</f>
        <v>6.8785784866003041</v>
      </c>
      <c r="I87">
        <f>Table2[[#This Row],[Log Expenditure]]-Table2[[#This Row],[Quadratic Trend]]</f>
        <v>2.1144620684568238E-2</v>
      </c>
      <c r="J87">
        <f t="shared" si="1"/>
        <v>-9.536063508686965E-3</v>
      </c>
    </row>
    <row r="88" spans="1:10" x14ac:dyDescent="0.3">
      <c r="A88">
        <v>1971</v>
      </c>
      <c r="B88">
        <v>3</v>
      </c>
      <c r="C88" s="1">
        <f>DATE(Table2[[#This Row],[Year]],(Table2[[#This Row],[Quarter]]-1)*3+2,15)</f>
        <v>26160</v>
      </c>
      <c r="D88">
        <f>Table2[[#This Row],[Year]]+1/8+(Table2[[#This Row],[Quarter]]-1)/4</f>
        <v>1971.625</v>
      </c>
      <c r="E88">
        <f>Table2[[#This Row],[DecDate]]^2</f>
        <v>3887305.140625</v>
      </c>
      <c r="F88">
        <v>918</v>
      </c>
      <c r="G88">
        <f>LN(Table2[[#This Row],[Expenditure]])</f>
        <v>6.8221973906204907</v>
      </c>
      <c r="H88">
        <f>$W$18+$W$19*Table2[[#This Row],[DecDate]]+$W$20*Table2[[#This Row],[DecDate2]]</f>
        <v>6.8814193955072369</v>
      </c>
      <c r="I88">
        <f>Table2[[#This Row],[Log Expenditure]]-Table2[[#This Row],[Quadratic Trend]]</f>
        <v>-5.9222004886746227E-2</v>
      </c>
      <c r="J88">
        <f t="shared" si="1"/>
        <v>1.477852761129661E-3</v>
      </c>
    </row>
    <row r="89" spans="1:10" x14ac:dyDescent="0.3">
      <c r="A89">
        <v>1971</v>
      </c>
      <c r="B89">
        <v>4</v>
      </c>
      <c r="C89" s="1">
        <f>DATE(Table2[[#This Row],[Year]],(Table2[[#This Row],[Quarter]]-1)*3+2,15)</f>
        <v>26252</v>
      </c>
      <c r="D89">
        <f>Table2[[#This Row],[Year]]+1/8+(Table2[[#This Row],[Quarter]]-1)/4</f>
        <v>1971.875</v>
      </c>
      <c r="E89">
        <f>Table2[[#This Row],[DecDate]]^2</f>
        <v>3888291.015625</v>
      </c>
      <c r="F89">
        <v>967</v>
      </c>
      <c r="G89">
        <f>LN(Table2[[#This Row],[Expenditure]])</f>
        <v>6.8741984954532942</v>
      </c>
      <c r="H89">
        <f>$W$18+$W$19*Table2[[#This Row],[DecDate]]+$W$20*Table2[[#This Row],[DecDate2]]</f>
        <v>6.8842465883318482</v>
      </c>
      <c r="I89">
        <f>Table2[[#This Row],[Log Expenditure]]-Table2[[#This Row],[Quadratic Trend]]</f>
        <v>-1.0048092878554016E-2</v>
      </c>
      <c r="J89">
        <f t="shared" si="1"/>
        <v>7.9546630634968803E-3</v>
      </c>
    </row>
    <row r="90" spans="1:10" x14ac:dyDescent="0.3">
      <c r="A90">
        <v>1972</v>
      </c>
      <c r="B90">
        <v>1</v>
      </c>
      <c r="C90" s="1">
        <f>DATE(Table2[[#This Row],[Year]],(Table2[[#This Row],[Quarter]]-1)*3+2,15)</f>
        <v>26344</v>
      </c>
      <c r="D90">
        <f>Table2[[#This Row],[Year]]+1/8+(Table2[[#This Row],[Quarter]]-1)/4</f>
        <v>1972.125</v>
      </c>
      <c r="E90">
        <f>Table2[[#This Row],[DecDate]]^2</f>
        <v>3889277.015625</v>
      </c>
      <c r="F90">
        <v>1016</v>
      </c>
      <c r="G90">
        <f>LN(Table2[[#This Row],[Expenditure]])</f>
        <v>6.9236286281384274</v>
      </c>
      <c r="H90">
        <f>$W$18+$W$19*Table2[[#This Row],[DecDate]]+$W$20*Table2[[#This Row],[DecDate2]]</f>
        <v>6.8870600650742517</v>
      </c>
      <c r="I90">
        <f>Table2[[#This Row],[Log Expenditure]]-Table2[[#This Row],[Quadratic Trend]]</f>
        <v>3.6568563064175663E-2</v>
      </c>
      <c r="J90">
        <f t="shared" si="1"/>
        <v>-1.6252201591820282E-3</v>
      </c>
    </row>
    <row r="91" spans="1:10" x14ac:dyDescent="0.3">
      <c r="A91">
        <v>1972</v>
      </c>
      <c r="B91">
        <v>2</v>
      </c>
      <c r="C91" s="1">
        <f>DATE(Table2[[#This Row],[Year]],(Table2[[#This Row],[Quarter]]-1)*3+2,15)</f>
        <v>26434</v>
      </c>
      <c r="D91">
        <f>Table2[[#This Row],[Year]]+1/8+(Table2[[#This Row],[Quarter]]-1)/4</f>
        <v>1972.375</v>
      </c>
      <c r="E91">
        <f>Table2[[#This Row],[DecDate]]^2</f>
        <v>3890263.140625</v>
      </c>
      <c r="F91">
        <v>1034</v>
      </c>
      <c r="G91">
        <f>LN(Table2[[#This Row],[Expenditure]])</f>
        <v>6.9411900550683745</v>
      </c>
      <c r="H91">
        <f>$W$18+$W$19*Table2[[#This Row],[DecDate]]+$W$20*Table2[[#This Row],[DecDate2]]</f>
        <v>6.8898598257343338</v>
      </c>
      <c r="I91">
        <f>Table2[[#This Row],[Log Expenditure]]-Table2[[#This Row],[Quadratic Trend]]</f>
        <v>5.1330229334040745E-2</v>
      </c>
      <c r="J91">
        <f t="shared" si="1"/>
        <v>1.1684088488288146E-2</v>
      </c>
    </row>
    <row r="92" spans="1:10" x14ac:dyDescent="0.3">
      <c r="A92">
        <v>1972</v>
      </c>
      <c r="B92">
        <v>3</v>
      </c>
      <c r="C92" s="1">
        <f>DATE(Table2[[#This Row],[Year]],(Table2[[#This Row],[Quarter]]-1)*3+2,15)</f>
        <v>26526</v>
      </c>
      <c r="D92">
        <f>Table2[[#This Row],[Year]]+1/8+(Table2[[#This Row],[Quarter]]-1)/4</f>
        <v>1972.625</v>
      </c>
      <c r="E92">
        <f>Table2[[#This Row],[DecDate]]^2</f>
        <v>3891249.390625</v>
      </c>
      <c r="F92">
        <v>959</v>
      </c>
      <c r="G92">
        <f>LN(Table2[[#This Row],[Expenditure]])</f>
        <v>6.8658910748834385</v>
      </c>
      <c r="H92">
        <f>$W$18+$W$19*Table2[[#This Row],[DecDate]]+$W$20*Table2[[#This Row],[DecDate2]]</f>
        <v>6.8926458703122648</v>
      </c>
      <c r="I92">
        <f>Table2[[#This Row],[Log Expenditure]]-Table2[[#This Row],[Quadratic Trend]]</f>
        <v>-2.6754795428826306E-2</v>
      </c>
      <c r="J92">
        <f t="shared" si="1"/>
        <v>2.0937786805421153E-2</v>
      </c>
    </row>
    <row r="93" spans="1:10" x14ac:dyDescent="0.3">
      <c r="A93">
        <v>1972</v>
      </c>
      <c r="B93">
        <v>4</v>
      </c>
      <c r="C93" s="1">
        <f>DATE(Table2[[#This Row],[Year]],(Table2[[#This Row],[Quarter]]-1)*3+2,15)</f>
        <v>26618</v>
      </c>
      <c r="D93">
        <f>Table2[[#This Row],[Year]]+1/8+(Table2[[#This Row],[Quarter]]-1)/4</f>
        <v>1972.875</v>
      </c>
      <c r="E93">
        <f>Table2[[#This Row],[DecDate]]^2</f>
        <v>3892235.765625</v>
      </c>
      <c r="F93">
        <v>995</v>
      </c>
      <c r="G93">
        <f>LN(Table2[[#This Row],[Expenditure]])</f>
        <v>6.9027427371585928</v>
      </c>
      <c r="H93">
        <f>$W$18+$W$19*Table2[[#This Row],[DecDate]]+$W$20*Table2[[#This Row],[DecDate2]]</f>
        <v>6.8954181988079881</v>
      </c>
      <c r="I93">
        <f>Table2[[#This Row],[Log Expenditure]]-Table2[[#This Row],[Quadratic Trend]]</f>
        <v>7.324538350604648E-3</v>
      </c>
      <c r="J93">
        <f t="shared" si="1"/>
        <v>2.2834931109164281E-2</v>
      </c>
    </row>
    <row r="94" spans="1:10" x14ac:dyDescent="0.3">
      <c r="A94">
        <v>1973</v>
      </c>
      <c r="B94">
        <v>1</v>
      </c>
      <c r="C94" s="1">
        <f>DATE(Table2[[#This Row],[Year]],(Table2[[#This Row],[Quarter]]-1)*3+2,15)</f>
        <v>26710</v>
      </c>
      <c r="D94">
        <f>Table2[[#This Row],[Year]]+1/8+(Table2[[#This Row],[Quarter]]-1)/4</f>
        <v>1973.125</v>
      </c>
      <c r="E94">
        <f>Table2[[#This Row],[DecDate]]^2</f>
        <v>3893222.265625</v>
      </c>
      <c r="F94">
        <v>1027</v>
      </c>
      <c r="G94">
        <f>LN(Table2[[#This Row],[Expenditure]])</f>
        <v>6.9343972099285578</v>
      </c>
      <c r="H94">
        <f>$W$18+$W$19*Table2[[#This Row],[DecDate]]+$W$20*Table2[[#This Row],[DecDate2]]</f>
        <v>6.8981768112214468</v>
      </c>
      <c r="I94">
        <f>Table2[[#This Row],[Log Expenditure]]-Table2[[#This Row],[Quadratic Trend]]</f>
        <v>3.6220398707111023E-2</v>
      </c>
      <c r="J94">
        <f t="shared" si="1"/>
        <v>6.4710745245569971E-3</v>
      </c>
    </row>
    <row r="95" spans="1:10" x14ac:dyDescent="0.3">
      <c r="A95">
        <v>1973</v>
      </c>
      <c r="B95">
        <v>2</v>
      </c>
      <c r="C95" s="1">
        <f>DATE(Table2[[#This Row],[Year]],(Table2[[#This Row],[Quarter]]-1)*3+2,15)</f>
        <v>26799</v>
      </c>
      <c r="D95">
        <f>Table2[[#This Row],[Year]]+1/8+(Table2[[#This Row],[Quarter]]-1)/4</f>
        <v>1973.375</v>
      </c>
      <c r="E95">
        <f>Table2[[#This Row],[DecDate]]^2</f>
        <v>3894208.890625</v>
      </c>
      <c r="F95">
        <v>1040</v>
      </c>
      <c r="G95">
        <f>LN(Table2[[#This Row],[Expenditure]])</f>
        <v>6.9469759921354184</v>
      </c>
      <c r="H95">
        <f>$W$18+$W$19*Table2[[#This Row],[DecDate]]+$W$20*Table2[[#This Row],[DecDate2]]</f>
        <v>6.9009217075525271</v>
      </c>
      <c r="I95">
        <f>Table2[[#This Row],[Log Expenditure]]-Table2[[#This Row],[Quadratic Trend]]</f>
        <v>4.6054284582891292E-2</v>
      </c>
      <c r="J95">
        <f t="shared" si="1"/>
        <v>1.0492584673649752E-2</v>
      </c>
    </row>
    <row r="96" spans="1:10" x14ac:dyDescent="0.3">
      <c r="A96">
        <v>1973</v>
      </c>
      <c r="B96">
        <v>3</v>
      </c>
      <c r="C96" s="1">
        <f>DATE(Table2[[#This Row],[Year]],(Table2[[#This Row],[Quarter]]-1)*3+2,15)</f>
        <v>26891</v>
      </c>
      <c r="D96">
        <f>Table2[[#This Row],[Year]]+1/8+(Table2[[#This Row],[Quarter]]-1)/4</f>
        <v>1973.625</v>
      </c>
      <c r="E96">
        <f>Table2[[#This Row],[DecDate]]^2</f>
        <v>3895195.640625</v>
      </c>
      <c r="F96">
        <v>966</v>
      </c>
      <c r="G96">
        <f>LN(Table2[[#This Row],[Expenditure]])</f>
        <v>6.8731638342125176</v>
      </c>
      <c r="H96">
        <f>$W$18+$W$19*Table2[[#This Row],[DecDate]]+$W$20*Table2[[#This Row],[DecDate2]]</f>
        <v>6.9036528878015133</v>
      </c>
      <c r="I96">
        <f>Table2[[#This Row],[Log Expenditure]]-Table2[[#This Row],[Quadratic Trend]]</f>
        <v>-3.0489053588995674E-2</v>
      </c>
      <c r="J96">
        <f t="shared" si="1"/>
        <v>1.6415655212824554E-2</v>
      </c>
    </row>
    <row r="97" spans="1:10" x14ac:dyDescent="0.3">
      <c r="A97">
        <v>1973</v>
      </c>
      <c r="B97">
        <v>4</v>
      </c>
      <c r="C97" s="1">
        <f>DATE(Table2[[#This Row],[Year]],(Table2[[#This Row],[Quarter]]-1)*3+2,15)</f>
        <v>26983</v>
      </c>
      <c r="D97">
        <f>Table2[[#This Row],[Year]]+1/8+(Table2[[#This Row],[Quarter]]-1)/4</f>
        <v>1973.875</v>
      </c>
      <c r="E97">
        <f>Table2[[#This Row],[DecDate]]^2</f>
        <v>3896182.515625</v>
      </c>
      <c r="F97">
        <v>992</v>
      </c>
      <c r="G97">
        <f>LN(Table2[[#This Row],[Expenditure]])</f>
        <v>6.8997231072848724</v>
      </c>
      <c r="H97">
        <f>$W$18+$W$19*Table2[[#This Row],[DecDate]]+$W$20*Table2[[#This Row],[DecDate2]]</f>
        <v>6.9063703519682349</v>
      </c>
      <c r="I97">
        <f>Table2[[#This Row],[Log Expenditure]]-Table2[[#This Row],[Quadratic Trend]]</f>
        <v>-6.6472446833625298E-3</v>
      </c>
      <c r="J97">
        <f t="shared" si="1"/>
        <v>1.793727073968494E-2</v>
      </c>
    </row>
    <row r="98" spans="1:10" x14ac:dyDescent="0.3">
      <c r="A98">
        <v>1974</v>
      </c>
      <c r="B98">
        <v>1</v>
      </c>
      <c r="C98" s="1">
        <f>DATE(Table2[[#This Row],[Year]],(Table2[[#This Row],[Quarter]]-1)*3+2,15)</f>
        <v>27075</v>
      </c>
      <c r="D98">
        <f>Table2[[#This Row],[Year]]+1/8+(Table2[[#This Row],[Quarter]]-1)/4</f>
        <v>1974.125</v>
      </c>
      <c r="E98">
        <f>Table2[[#This Row],[DecDate]]^2</f>
        <v>3897169.515625</v>
      </c>
      <c r="F98">
        <v>1039</v>
      </c>
      <c r="G98">
        <f>LN(Table2[[#This Row],[Expenditure]])</f>
        <v>6.9460139910992273</v>
      </c>
      <c r="H98">
        <f>$W$18+$W$19*Table2[[#This Row],[DecDate]]+$W$20*Table2[[#This Row],[DecDate2]]</f>
        <v>6.9090741000527487</v>
      </c>
      <c r="I98">
        <f>Table2[[#This Row],[Log Expenditure]]-Table2[[#This Row],[Quadratic Trend]]</f>
        <v>3.6939891046478657E-2</v>
      </c>
      <c r="J98">
        <f t="shared" si="1"/>
        <v>5.3793128538487164E-3</v>
      </c>
    </row>
    <row r="99" spans="1:10" x14ac:dyDescent="0.3">
      <c r="A99">
        <v>1974</v>
      </c>
      <c r="B99">
        <v>2</v>
      </c>
      <c r="C99" s="1">
        <f>DATE(Table2[[#This Row],[Year]],(Table2[[#This Row],[Quarter]]-1)*3+2,15)</f>
        <v>27164</v>
      </c>
      <c r="D99">
        <f>Table2[[#This Row],[Year]]+1/8+(Table2[[#This Row],[Quarter]]-1)/4</f>
        <v>1974.375</v>
      </c>
      <c r="E99">
        <f>Table2[[#This Row],[DecDate]]^2</f>
        <v>3898156.640625</v>
      </c>
      <c r="F99">
        <v>1049</v>
      </c>
      <c r="G99">
        <f>LN(Table2[[#This Row],[Expenditure]])</f>
        <v>6.9555926083962971</v>
      </c>
      <c r="H99">
        <f>$W$18+$W$19*Table2[[#This Row],[DecDate]]+$W$20*Table2[[#This Row],[DecDate2]]</f>
        <v>6.9117641320548842</v>
      </c>
      <c r="I99">
        <f>Table2[[#This Row],[Log Expenditure]]-Table2[[#This Row],[Quadratic Trend]]</f>
        <v>4.3828476341412959E-2</v>
      </c>
      <c r="J99">
        <f t="shared" si="1"/>
        <v>1.474111915525036E-2</v>
      </c>
    </row>
    <row r="100" spans="1:10" x14ac:dyDescent="0.3">
      <c r="A100">
        <v>1974</v>
      </c>
      <c r="B100">
        <v>3</v>
      </c>
      <c r="C100" s="1">
        <f>DATE(Table2[[#This Row],[Year]],(Table2[[#This Row],[Quarter]]-1)*3+2,15)</f>
        <v>27256</v>
      </c>
      <c r="D100">
        <f>Table2[[#This Row],[Year]]+1/8+(Table2[[#This Row],[Quarter]]-1)/4</f>
        <v>1974.625</v>
      </c>
      <c r="E100">
        <f>Table2[[#This Row],[DecDate]]^2</f>
        <v>3899143.890625</v>
      </c>
      <c r="F100">
        <v>990</v>
      </c>
      <c r="G100">
        <f>LN(Table2[[#This Row],[Expenditure]])</f>
        <v>6.8977049431286357</v>
      </c>
      <c r="H100">
        <f>$W$18+$W$19*Table2[[#This Row],[DecDate]]+$W$20*Table2[[#This Row],[DecDate2]]</f>
        <v>6.9144404479749255</v>
      </c>
      <c r="I100">
        <f>Table2[[#This Row],[Log Expenditure]]-Table2[[#This Row],[Quadratic Trend]]</f>
        <v>-1.6735504846289828E-2</v>
      </c>
      <c r="J100">
        <f t="shared" si="1"/>
        <v>2.4379390960336166E-2</v>
      </c>
    </row>
    <row r="101" spans="1:10" x14ac:dyDescent="0.3">
      <c r="A101">
        <v>1974</v>
      </c>
      <c r="B101">
        <v>4</v>
      </c>
      <c r="C101" s="1">
        <f>DATE(Table2[[#This Row],[Year]],(Table2[[#This Row],[Quarter]]-1)*3+2,15)</f>
        <v>27348</v>
      </c>
      <c r="D101">
        <f>Table2[[#This Row],[Year]]+1/8+(Table2[[#This Row],[Quarter]]-1)/4</f>
        <v>1974.875</v>
      </c>
      <c r="E101">
        <f>Table2[[#This Row],[DecDate]]^2</f>
        <v>3900131.265625</v>
      </c>
      <c r="F101">
        <v>1026</v>
      </c>
      <c r="G101">
        <f>LN(Table2[[#This Row],[Expenditure]])</f>
        <v>6.9334230257307148</v>
      </c>
      <c r="H101">
        <f>$W$18+$W$19*Table2[[#This Row],[DecDate]]+$W$20*Table2[[#This Row],[DecDate2]]</f>
        <v>6.9171030478127022</v>
      </c>
      <c r="I101">
        <f>Table2[[#This Row],[Log Expenditure]]-Table2[[#This Row],[Quadratic Trend]]</f>
        <v>1.631997791801254E-2</v>
      </c>
      <c r="J101">
        <f t="shared" si="1"/>
        <v>2.5151990076806997E-2</v>
      </c>
    </row>
    <row r="102" spans="1:10" x14ac:dyDescent="0.3">
      <c r="A102">
        <v>1975</v>
      </c>
      <c r="B102">
        <v>1</v>
      </c>
      <c r="C102" s="1">
        <f>DATE(Table2[[#This Row],[Year]],(Table2[[#This Row],[Quarter]]-1)*3+2,15)</f>
        <v>27440</v>
      </c>
      <c r="D102">
        <f>Table2[[#This Row],[Year]]+1/8+(Table2[[#This Row],[Quarter]]-1)/4</f>
        <v>1975.125</v>
      </c>
      <c r="E102">
        <f>Table2[[#This Row],[DecDate]]^2</f>
        <v>3901118.765625</v>
      </c>
      <c r="F102">
        <v>1055</v>
      </c>
      <c r="G102">
        <f>LN(Table2[[#This Row],[Expenditure]])</f>
        <v>6.9612960459101672</v>
      </c>
      <c r="H102">
        <f>$W$18+$W$19*Table2[[#This Row],[DecDate]]+$W$20*Table2[[#This Row],[DecDate2]]</f>
        <v>6.9197519315681006</v>
      </c>
      <c r="I102">
        <f>Table2[[#This Row],[Log Expenditure]]-Table2[[#This Row],[Quadratic Trend]]</f>
        <v>4.1544114342066507E-2</v>
      </c>
      <c r="J102">
        <f t="shared" si="1"/>
        <v>9.3028463129286362E-3</v>
      </c>
    </row>
    <row r="103" spans="1:10" x14ac:dyDescent="0.3">
      <c r="A103">
        <v>1975</v>
      </c>
      <c r="B103">
        <v>2</v>
      </c>
      <c r="C103" s="1">
        <f>DATE(Table2[[#This Row],[Year]],(Table2[[#This Row],[Quarter]]-1)*3+2,15)</f>
        <v>27529</v>
      </c>
      <c r="D103">
        <f>Table2[[#This Row],[Year]]+1/8+(Table2[[#This Row],[Quarter]]-1)/4</f>
        <v>1975.375</v>
      </c>
      <c r="E103">
        <f>Table2[[#This Row],[DecDate]]^2</f>
        <v>3902106.390625</v>
      </c>
      <c r="F103">
        <v>1057</v>
      </c>
      <c r="G103">
        <f>LN(Table2[[#This Row],[Expenditure]])</f>
        <v>6.9631899858702377</v>
      </c>
      <c r="H103">
        <f>$W$18+$W$19*Table2[[#This Row],[DecDate]]+$W$20*Table2[[#This Row],[DecDate2]]</f>
        <v>6.9223870992414049</v>
      </c>
      <c r="I103">
        <f>Table2[[#This Row],[Log Expenditure]]-Table2[[#This Row],[Quadratic Trend]]</f>
        <v>4.0802886628832802E-2</v>
      </c>
      <c r="J103">
        <f t="shared" si="1"/>
        <v>9.2768476063184828E-3</v>
      </c>
    </row>
    <row r="104" spans="1:10" x14ac:dyDescent="0.3">
      <c r="A104">
        <v>1975</v>
      </c>
      <c r="B104">
        <v>3</v>
      </c>
      <c r="C104" s="1">
        <f>DATE(Table2[[#This Row],[Year]],(Table2[[#This Row],[Quarter]]-1)*3+2,15)</f>
        <v>27621</v>
      </c>
      <c r="D104">
        <f>Table2[[#This Row],[Year]]+1/8+(Table2[[#This Row],[Quarter]]-1)/4</f>
        <v>1975.625</v>
      </c>
      <c r="E104">
        <f>Table2[[#This Row],[DecDate]]^2</f>
        <v>3903094.140625</v>
      </c>
      <c r="F104">
        <v>982</v>
      </c>
      <c r="G104">
        <f>LN(Table2[[#This Row],[Expenditure]])</f>
        <v>6.8895913083544658</v>
      </c>
      <c r="H104">
        <f>$W$18+$W$19*Table2[[#This Row],[DecDate]]+$W$20*Table2[[#This Row],[DecDate2]]</f>
        <v>6.9250085508324446</v>
      </c>
      <c r="I104">
        <f>Table2[[#This Row],[Log Expenditure]]-Table2[[#This Row],[Quadratic Trend]]</f>
        <v>-3.5417242477978839E-2</v>
      </c>
      <c r="J104">
        <f t="shared" si="1"/>
        <v>1.0325223748952261E-2</v>
      </c>
    </row>
    <row r="105" spans="1:10" x14ac:dyDescent="0.3">
      <c r="A105">
        <v>1975</v>
      </c>
      <c r="B105">
        <v>4</v>
      </c>
      <c r="C105" s="1">
        <f>DATE(Table2[[#This Row],[Year]],(Table2[[#This Row],[Quarter]]-1)*3+2,15)</f>
        <v>27713</v>
      </c>
      <c r="D105">
        <f>Table2[[#This Row],[Year]]+1/8+(Table2[[#This Row],[Quarter]]-1)/4</f>
        <v>1975.875</v>
      </c>
      <c r="E105">
        <f>Table2[[#This Row],[DecDate]]^2</f>
        <v>3904082.015625</v>
      </c>
      <c r="F105">
        <v>1003</v>
      </c>
      <c r="G105">
        <f>LN(Table2[[#This Row],[Expenditure]])</f>
        <v>6.9107507879619359</v>
      </c>
      <c r="H105">
        <f>$W$18+$W$19*Table2[[#This Row],[DecDate]]+$W$20*Table2[[#This Row],[DecDate2]]</f>
        <v>6.9276162863412765</v>
      </c>
      <c r="I105">
        <f>Table2[[#This Row],[Log Expenditure]]-Table2[[#This Row],[Quadratic Trend]]</f>
        <v>-1.6865498379340593E-2</v>
      </c>
      <c r="J105">
        <f t="shared" si="1"/>
        <v>6.0040079830947944E-3</v>
      </c>
    </row>
    <row r="106" spans="1:10" x14ac:dyDescent="0.3">
      <c r="A106">
        <v>1976</v>
      </c>
      <c r="B106">
        <v>1</v>
      </c>
      <c r="C106" s="1">
        <f>DATE(Table2[[#This Row],[Year]],(Table2[[#This Row],[Quarter]]-1)*3+2,15)</f>
        <v>27805</v>
      </c>
      <c r="D106">
        <f>Table2[[#This Row],[Year]]+1/8+(Table2[[#This Row],[Quarter]]-1)/4</f>
        <v>1976.125</v>
      </c>
      <c r="E106">
        <f>Table2[[#This Row],[DecDate]]^2</f>
        <v>3905070.015625</v>
      </c>
      <c r="F106">
        <v>1045</v>
      </c>
      <c r="G106">
        <f>LN(Table2[[#This Row],[Expenditure]])</f>
        <v>6.9517721643989114</v>
      </c>
      <c r="H106">
        <f>$W$18+$W$19*Table2[[#This Row],[DecDate]]+$W$20*Table2[[#This Row],[DecDate2]]</f>
        <v>6.93021030576773</v>
      </c>
      <c r="I106">
        <f>Table2[[#This Row],[Log Expenditure]]-Table2[[#This Row],[Quadratic Trend]]</f>
        <v>2.156185863118143E-2</v>
      </c>
      <c r="J106">
        <f t="shared" si="1"/>
        <v>-1.110618458807533E-2</v>
      </c>
    </row>
    <row r="107" spans="1:10" x14ac:dyDescent="0.3">
      <c r="A107">
        <v>1976</v>
      </c>
      <c r="B107">
        <v>2</v>
      </c>
      <c r="C107" s="1">
        <f>DATE(Table2[[#This Row],[Year]],(Table2[[#This Row],[Quarter]]-1)*3+2,15)</f>
        <v>27895</v>
      </c>
      <c r="D107">
        <f>Table2[[#This Row],[Year]]+1/8+(Table2[[#This Row],[Quarter]]-1)/4</f>
        <v>1976.375</v>
      </c>
      <c r="E107">
        <f>Table2[[#This Row],[DecDate]]^2</f>
        <v>3906058.140625</v>
      </c>
      <c r="F107">
        <v>1046</v>
      </c>
      <c r="G107">
        <f>LN(Table2[[#This Row],[Expenditure]])</f>
        <v>6.9527286446248686</v>
      </c>
      <c r="H107">
        <f>$W$18+$W$19*Table2[[#This Row],[DecDate]]+$W$20*Table2[[#This Row],[DecDate2]]</f>
        <v>6.9327906091120894</v>
      </c>
      <c r="I107">
        <f>Table2[[#This Row],[Log Expenditure]]-Table2[[#This Row],[Quadratic Trend]]</f>
        <v>1.9938035512779173E-2</v>
      </c>
      <c r="J107">
        <f t="shared" si="1"/>
        <v>-4.9201444571508549E-3</v>
      </c>
    </row>
    <row r="108" spans="1:10" x14ac:dyDescent="0.3">
      <c r="A108">
        <v>1976</v>
      </c>
      <c r="B108">
        <v>3</v>
      </c>
      <c r="C108" s="1">
        <f>DATE(Table2[[#This Row],[Year]],(Table2[[#This Row],[Quarter]]-1)*3+2,15)</f>
        <v>27987</v>
      </c>
      <c r="D108">
        <f>Table2[[#This Row],[Year]]+1/8+(Table2[[#This Row],[Quarter]]-1)/4</f>
        <v>1976.625</v>
      </c>
      <c r="E108">
        <f>Table2[[#This Row],[DecDate]]^2</f>
        <v>3907046.390625</v>
      </c>
      <c r="F108">
        <v>983</v>
      </c>
      <c r="G108">
        <f>LN(Table2[[#This Row],[Expenditure]])</f>
        <v>6.8906091201471664</v>
      </c>
      <c r="H108">
        <f>$W$18+$W$19*Table2[[#This Row],[DecDate]]+$W$20*Table2[[#This Row],[DecDate2]]</f>
        <v>6.9353571963741842</v>
      </c>
      <c r="I108">
        <f>Table2[[#This Row],[Log Expenditure]]-Table2[[#This Row],[Quadratic Trend]]</f>
        <v>-4.4748076227017819E-2</v>
      </c>
      <c r="J108">
        <f t="shared" si="1"/>
        <v>2.0527893479323823E-3</v>
      </c>
    </row>
    <row r="109" spans="1:10" x14ac:dyDescent="0.3">
      <c r="A109">
        <v>1976</v>
      </c>
      <c r="B109">
        <v>4</v>
      </c>
      <c r="C109" s="1">
        <f>DATE(Table2[[#This Row],[Year]],(Table2[[#This Row],[Quarter]]-1)*3+2,15)</f>
        <v>28079</v>
      </c>
      <c r="D109">
        <f>Table2[[#This Row],[Year]]+1/8+(Table2[[#This Row],[Quarter]]-1)/4</f>
        <v>1976.875</v>
      </c>
      <c r="E109">
        <f>Table2[[#This Row],[DecDate]]^2</f>
        <v>3908034.765625</v>
      </c>
      <c r="F109">
        <v>1026</v>
      </c>
      <c r="G109">
        <f>LN(Table2[[#This Row],[Expenditure]])</f>
        <v>6.9334230257307148</v>
      </c>
      <c r="H109">
        <f>$W$18+$W$19*Table2[[#This Row],[DecDate]]+$W$20*Table2[[#This Row],[DecDate2]]</f>
        <v>6.9379100675540712</v>
      </c>
      <c r="I109">
        <f>Table2[[#This Row],[Log Expenditure]]-Table2[[#This Row],[Quadratic Trend]]</f>
        <v>-4.4870418233564635E-3</v>
      </c>
      <c r="J109">
        <f t="shared" si="1"/>
        <v>2.9155609566981155E-3</v>
      </c>
    </row>
    <row r="110" spans="1:10" x14ac:dyDescent="0.3">
      <c r="A110">
        <v>1977</v>
      </c>
      <c r="B110">
        <v>1</v>
      </c>
      <c r="C110" s="1">
        <f>DATE(Table2[[#This Row],[Year]],(Table2[[#This Row],[Quarter]]-1)*3+2,15)</f>
        <v>28171</v>
      </c>
      <c r="D110">
        <f>Table2[[#This Row],[Year]]+1/8+(Table2[[#This Row],[Quarter]]-1)/4</f>
        <v>1977.125</v>
      </c>
      <c r="E110">
        <f>Table2[[#This Row],[DecDate]]^2</f>
        <v>3909023.265625</v>
      </c>
      <c r="F110">
        <v>1052</v>
      </c>
      <c r="G110">
        <f>LN(Table2[[#This Row],[Expenditure]])</f>
        <v>6.9584483932976555</v>
      </c>
      <c r="H110">
        <f>$W$18+$W$19*Table2[[#This Row],[DecDate]]+$W$20*Table2[[#This Row],[DecDate2]]</f>
        <v>6.9404492226515799</v>
      </c>
      <c r="I110">
        <f>Table2[[#This Row],[Log Expenditure]]-Table2[[#This Row],[Quadratic Trend]]</f>
        <v>1.7999170646075591E-2</v>
      </c>
      <c r="J110">
        <f t="shared" si="1"/>
        <v>-9.4198715489556047E-3</v>
      </c>
    </row>
    <row r="111" spans="1:10" x14ac:dyDescent="0.3">
      <c r="A111">
        <v>1977</v>
      </c>
      <c r="B111">
        <v>2</v>
      </c>
      <c r="C111" s="1">
        <f>DATE(Table2[[#This Row],[Year]],(Table2[[#This Row],[Quarter]]-1)*3+2,15)</f>
        <v>28260</v>
      </c>
      <c r="D111">
        <f>Table2[[#This Row],[Year]]+1/8+(Table2[[#This Row],[Quarter]]-1)/4</f>
        <v>1977.375</v>
      </c>
      <c r="E111">
        <f>Table2[[#This Row],[DecDate]]^2</f>
        <v>3910011.890625</v>
      </c>
      <c r="F111">
        <v>1063</v>
      </c>
      <c r="G111">
        <f>LN(Table2[[#This Row],[Expenditure]])</f>
        <v>6.9688503783419478</v>
      </c>
      <c r="H111">
        <f>$W$18+$W$19*Table2[[#This Row],[DecDate]]+$W$20*Table2[[#This Row],[DecDate2]]</f>
        <v>6.9429746616669377</v>
      </c>
      <c r="I111">
        <f>Table2[[#This Row],[Log Expenditure]]-Table2[[#This Row],[Quadratic Trend]]</f>
        <v>2.5875716675010096E-2</v>
      </c>
      <c r="J111">
        <f t="shared" si="1"/>
        <v>-1.2496929478183817E-3</v>
      </c>
    </row>
    <row r="112" spans="1:10" x14ac:dyDescent="0.3">
      <c r="A112">
        <v>1977</v>
      </c>
      <c r="B112">
        <v>3</v>
      </c>
      <c r="C112" s="1">
        <f>DATE(Table2[[#This Row],[Year]],(Table2[[#This Row],[Quarter]]-1)*3+2,15)</f>
        <v>28352</v>
      </c>
      <c r="D112">
        <f>Table2[[#This Row],[Year]]+1/8+(Table2[[#This Row],[Quarter]]-1)/4</f>
        <v>1977.625</v>
      </c>
      <c r="E112">
        <f>Table2[[#This Row],[DecDate]]^2</f>
        <v>3911000.640625</v>
      </c>
      <c r="F112">
        <v>996</v>
      </c>
      <c r="G112">
        <f>LN(Table2[[#This Row],[Expenditure]])</f>
        <v>6.9037472575845982</v>
      </c>
      <c r="H112">
        <f>$W$18+$W$19*Table2[[#This Row],[DecDate]]+$W$20*Table2[[#This Row],[DecDate2]]</f>
        <v>6.9454863846000876</v>
      </c>
      <c r="I112">
        <f>Table2[[#This Row],[Log Expenditure]]-Table2[[#This Row],[Quadratic Trend]]</f>
        <v>-4.173912701548943E-2</v>
      </c>
      <c r="J112">
        <f t="shared" si="1"/>
        <v>6.4972429965987292E-3</v>
      </c>
    </row>
    <row r="113" spans="1:10" x14ac:dyDescent="0.3">
      <c r="A113">
        <v>1977</v>
      </c>
      <c r="B113">
        <v>4</v>
      </c>
      <c r="C113" s="1">
        <f>DATE(Table2[[#This Row],[Year]],(Table2[[#This Row],[Quarter]]-1)*3+2,15)</f>
        <v>28444</v>
      </c>
      <c r="D113">
        <f>Table2[[#This Row],[Year]]+1/8+(Table2[[#This Row],[Quarter]]-1)/4</f>
        <v>1977.875</v>
      </c>
      <c r="E113">
        <f>Table2[[#This Row],[DecDate]]^2</f>
        <v>3911989.515625</v>
      </c>
      <c r="F113">
        <v>1037</v>
      </c>
      <c r="G113">
        <f>LN(Table2[[#This Row],[Expenditure]])</f>
        <v>6.9440872082295275</v>
      </c>
      <c r="H113">
        <f>$W$18+$W$19*Table2[[#This Row],[DecDate]]+$W$20*Table2[[#This Row],[DecDate2]]</f>
        <v>6.9479843914508592</v>
      </c>
      <c r="I113">
        <f>Table2[[#This Row],[Log Expenditure]]-Table2[[#This Row],[Quadratic Trend]]</f>
        <v>-3.8971832213317015E-3</v>
      </c>
      <c r="J113">
        <f t="shared" si="1"/>
        <v>1.0360857584969806E-2</v>
      </c>
    </row>
    <row r="114" spans="1:10" x14ac:dyDescent="0.3">
      <c r="A114">
        <v>1978</v>
      </c>
      <c r="B114">
        <v>1</v>
      </c>
      <c r="C114" s="1">
        <f>DATE(Table2[[#This Row],[Year]],(Table2[[#This Row],[Quarter]]-1)*3+2,15)</f>
        <v>28536</v>
      </c>
      <c r="D114">
        <f>Table2[[#This Row],[Year]]+1/8+(Table2[[#This Row],[Quarter]]-1)/4</f>
        <v>1978.125</v>
      </c>
      <c r="E114">
        <f>Table2[[#This Row],[DecDate]]^2</f>
        <v>3912978.515625</v>
      </c>
      <c r="F114">
        <v>1080</v>
      </c>
      <c r="G114">
        <f>LN(Table2[[#This Row],[Expenditure]])</f>
        <v>6.9847163201182658</v>
      </c>
      <c r="H114">
        <f>$W$18+$W$19*Table2[[#This Row],[DecDate]]+$W$20*Table2[[#This Row],[DecDate2]]</f>
        <v>6.9504686822195367</v>
      </c>
      <c r="I114">
        <f>Table2[[#This Row],[Log Expenditure]]-Table2[[#This Row],[Quadratic Trend]]</f>
        <v>3.4247637898729089E-2</v>
      </c>
      <c r="J114">
        <f t="shared" si="1"/>
        <v>-4.3424530556357864E-3</v>
      </c>
    </row>
    <row r="115" spans="1:10" x14ac:dyDescent="0.3">
      <c r="A115">
        <v>1978</v>
      </c>
      <c r="B115">
        <v>2</v>
      </c>
      <c r="C115" s="1">
        <f>DATE(Table2[[#This Row],[Year]],(Table2[[#This Row],[Quarter]]-1)*3+2,15)</f>
        <v>28625</v>
      </c>
      <c r="D115">
        <f>Table2[[#This Row],[Year]]+1/8+(Table2[[#This Row],[Quarter]]-1)/4</f>
        <v>1978.375</v>
      </c>
      <c r="E115">
        <f>Table2[[#This Row],[DecDate]]^2</f>
        <v>3913967.640625</v>
      </c>
      <c r="F115">
        <v>1086</v>
      </c>
      <c r="G115">
        <f>LN(Table2[[#This Row],[Expenditure]])</f>
        <v>6.9902565004938806</v>
      </c>
      <c r="H115">
        <f>$W$18+$W$19*Table2[[#This Row],[DecDate]]+$W$20*Table2[[#This Row],[DecDate2]]</f>
        <v>6.9529392569059496</v>
      </c>
      <c r="I115">
        <f>Table2[[#This Row],[Log Expenditure]]-Table2[[#This Row],[Quadratic Trend]]</f>
        <v>3.7317243587930982E-2</v>
      </c>
      <c r="J115">
        <f t="shared" si="1"/>
        <v>8.6886188095967041E-4</v>
      </c>
    </row>
    <row r="116" spans="1:10" x14ac:dyDescent="0.3">
      <c r="A116">
        <v>1978</v>
      </c>
      <c r="B116">
        <v>3</v>
      </c>
      <c r="C116" s="1">
        <f>DATE(Table2[[#This Row],[Year]],(Table2[[#This Row],[Quarter]]-1)*3+2,15)</f>
        <v>28717</v>
      </c>
      <c r="D116">
        <f>Table2[[#This Row],[Year]]+1/8+(Table2[[#This Row],[Quarter]]-1)/4</f>
        <v>1978.625</v>
      </c>
      <c r="E116">
        <f>Table2[[#This Row],[DecDate]]^2</f>
        <v>3914956.890625</v>
      </c>
      <c r="F116">
        <v>1000</v>
      </c>
      <c r="G116">
        <f>LN(Table2[[#This Row],[Expenditure]])</f>
        <v>6.9077552789821368</v>
      </c>
      <c r="H116">
        <f>$W$18+$W$19*Table2[[#This Row],[DecDate]]+$W$20*Table2[[#This Row],[DecDate2]]</f>
        <v>6.9553961155101547</v>
      </c>
      <c r="I116">
        <f>Table2[[#This Row],[Log Expenditure]]-Table2[[#This Row],[Quadratic Trend]]</f>
        <v>-4.7640836528017871E-2</v>
      </c>
      <c r="J116">
        <f t="shared" si="1"/>
        <v>2.4216841145435096E-3</v>
      </c>
    </row>
    <row r="117" spans="1:10" x14ac:dyDescent="0.3">
      <c r="A117">
        <v>1978</v>
      </c>
      <c r="B117">
        <v>4</v>
      </c>
      <c r="C117" s="1">
        <f>DATE(Table2[[#This Row],[Year]],(Table2[[#This Row],[Quarter]]-1)*3+2,15)</f>
        <v>28809</v>
      </c>
      <c r="D117">
        <f>Table2[[#This Row],[Year]]+1/8+(Table2[[#This Row],[Quarter]]-1)/4</f>
        <v>1978.875</v>
      </c>
      <c r="E117">
        <f>Table2[[#This Row],[DecDate]]^2</f>
        <v>3915946.265625</v>
      </c>
      <c r="F117">
        <v>1035</v>
      </c>
      <c r="G117">
        <f>LN(Table2[[#This Row],[Expenditure]])</f>
        <v>6.9421567056994693</v>
      </c>
      <c r="H117">
        <f>$W$18+$W$19*Table2[[#This Row],[DecDate]]+$W$20*Table2[[#This Row],[DecDate2]]</f>
        <v>6.9578392580319814</v>
      </c>
      <c r="I117">
        <f>Table2[[#This Row],[Log Expenditure]]-Table2[[#This Row],[Quadratic Trend]]</f>
        <v>-1.5682552332512145E-2</v>
      </c>
      <c r="J117">
        <f t="shared" si="1"/>
        <v>1.6364109681425986E-4</v>
      </c>
    </row>
    <row r="118" spans="1:10" x14ac:dyDescent="0.3">
      <c r="A118">
        <v>1979</v>
      </c>
      <c r="B118">
        <v>1</v>
      </c>
      <c r="C118" s="1">
        <f>DATE(Table2[[#This Row],[Year]],(Table2[[#This Row],[Quarter]]-1)*3+2,15)</f>
        <v>28901</v>
      </c>
      <c r="D118">
        <f>Table2[[#This Row],[Year]]+1/8+(Table2[[#This Row],[Quarter]]-1)/4</f>
        <v>1979.125</v>
      </c>
      <c r="E118">
        <f>Table2[[#This Row],[DecDate]]^2</f>
        <v>3916935.765625</v>
      </c>
      <c r="F118">
        <v>1058</v>
      </c>
      <c r="G118">
        <f>LN(Table2[[#This Row],[Expenditure]])</f>
        <v>6.9641356124182447</v>
      </c>
      <c r="H118">
        <f>$W$18+$W$19*Table2[[#This Row],[DecDate]]+$W$20*Table2[[#This Row],[DecDate2]]</f>
        <v>6.9602686844716573</v>
      </c>
      <c r="I118">
        <f>Table2[[#This Row],[Log Expenditure]]-Table2[[#This Row],[Quadratic Trend]]</f>
        <v>3.8669279465874951E-3</v>
      </c>
      <c r="J118">
        <f t="shared" si="1"/>
        <v>-1.4022724321758417E-2</v>
      </c>
    </row>
    <row r="119" spans="1:10" x14ac:dyDescent="0.3">
      <c r="A119">
        <v>1979</v>
      </c>
      <c r="B119">
        <v>2</v>
      </c>
      <c r="C119" s="1">
        <f>DATE(Table2[[#This Row],[Year]],(Table2[[#This Row],[Quarter]]-1)*3+2,15)</f>
        <v>28990</v>
      </c>
      <c r="D119">
        <f>Table2[[#This Row],[Year]]+1/8+(Table2[[#This Row],[Quarter]]-1)/4</f>
        <v>1979.375</v>
      </c>
      <c r="E119">
        <f>Table2[[#This Row],[DecDate]]^2</f>
        <v>3917925.390625</v>
      </c>
      <c r="F119">
        <v>1081</v>
      </c>
      <c r="G119">
        <f>LN(Table2[[#This Row],[Expenditure]])</f>
        <v>6.9856418176392081</v>
      </c>
      <c r="H119">
        <f>$W$18+$W$19*Table2[[#This Row],[DecDate]]+$W$20*Table2[[#This Row],[DecDate2]]</f>
        <v>6.9626843948291253</v>
      </c>
      <c r="I119">
        <f>Table2[[#This Row],[Log Expenditure]]-Table2[[#This Row],[Quadratic Trend]]</f>
        <v>2.2957422810082839E-2</v>
      </c>
      <c r="J119">
        <f t="shared" si="1"/>
        <v>-5.7302812935748904E-3</v>
      </c>
    </row>
    <row r="120" spans="1:10" x14ac:dyDescent="0.3">
      <c r="A120">
        <v>1979</v>
      </c>
      <c r="B120">
        <v>3</v>
      </c>
      <c r="C120" s="1">
        <f>DATE(Table2[[#This Row],[Year]],(Table2[[#This Row],[Quarter]]-1)*3+2,15)</f>
        <v>29082</v>
      </c>
      <c r="D120">
        <f>Table2[[#This Row],[Year]]+1/8+(Table2[[#This Row],[Quarter]]-1)/4</f>
        <v>1979.625</v>
      </c>
      <c r="E120">
        <f>Table2[[#This Row],[DecDate]]^2</f>
        <v>3918915.140625</v>
      </c>
      <c r="F120">
        <v>1024</v>
      </c>
      <c r="G120">
        <f>LN(Table2[[#This Row],[Expenditure]])</f>
        <v>6.9314718055994531</v>
      </c>
      <c r="H120">
        <f>$W$18+$W$19*Table2[[#This Row],[DecDate]]+$W$20*Table2[[#This Row],[DecDate2]]</f>
        <v>6.9650863891043855</v>
      </c>
      <c r="I120">
        <f>Table2[[#This Row],[Log Expenditure]]-Table2[[#This Row],[Quadratic Trend]]</f>
        <v>-3.3614583504932405E-2</v>
      </c>
      <c r="J120">
        <f t="shared" si="1"/>
        <v>2.5896145522979809E-3</v>
      </c>
    </row>
    <row r="121" spans="1:10" x14ac:dyDescent="0.3">
      <c r="A121">
        <v>1979</v>
      </c>
      <c r="B121">
        <v>4</v>
      </c>
      <c r="C121" s="1">
        <f>DATE(Table2[[#This Row],[Year]],(Table2[[#This Row],[Quarter]]-1)*3+2,15)</f>
        <v>29174</v>
      </c>
      <c r="D121">
        <f>Table2[[#This Row],[Year]]+1/8+(Table2[[#This Row],[Quarter]]-1)/4</f>
        <v>1979.875</v>
      </c>
      <c r="E121">
        <f>Table2[[#This Row],[DecDate]]^2</f>
        <v>3919905.015625</v>
      </c>
      <c r="F121">
        <v>1055</v>
      </c>
      <c r="G121">
        <f>LN(Table2[[#This Row],[Expenditure]])</f>
        <v>6.9612960459101672</v>
      </c>
      <c r="H121">
        <f>$W$18+$W$19*Table2[[#This Row],[DecDate]]+$W$20*Table2[[#This Row],[DecDate2]]</f>
        <v>6.9674746672972674</v>
      </c>
      <c r="I121">
        <f>Table2[[#This Row],[Log Expenditure]]-Table2[[#This Row],[Quadratic Trend]]</f>
        <v>-6.178621387100236E-3</v>
      </c>
      <c r="J121">
        <f t="shared" si="1"/>
        <v>9.2560004174035981E-3</v>
      </c>
    </row>
    <row r="122" spans="1:10" x14ac:dyDescent="0.3">
      <c r="A122">
        <v>1980</v>
      </c>
      <c r="B122">
        <v>1</v>
      </c>
      <c r="C122" s="1">
        <f>DATE(Table2[[#This Row],[Year]],(Table2[[#This Row],[Quarter]]-1)*3+2,15)</f>
        <v>29266</v>
      </c>
      <c r="D122">
        <f>Table2[[#This Row],[Year]]+1/8+(Table2[[#This Row],[Quarter]]-1)/4</f>
        <v>1980.125</v>
      </c>
      <c r="E122">
        <f>Table2[[#This Row],[DecDate]]^2</f>
        <v>3920895.015625</v>
      </c>
      <c r="F122">
        <v>1092</v>
      </c>
      <c r="G122">
        <f>LN(Table2[[#This Row],[Expenditure]])</f>
        <v>6.9957661563048505</v>
      </c>
      <c r="H122">
        <f>$W$18+$W$19*Table2[[#This Row],[DecDate]]+$W$20*Table2[[#This Row],[DecDate2]]</f>
        <v>6.9698492294079983</v>
      </c>
      <c r="I122">
        <f>Table2[[#This Row],[Log Expenditure]]-Table2[[#This Row],[Quadratic Trend]]</f>
        <v>2.591692689685221E-2</v>
      </c>
      <c r="J122">
        <f t="shared" si="1"/>
        <v>4.8991695296116686E-4</v>
      </c>
    </row>
    <row r="123" spans="1:10" x14ac:dyDescent="0.3">
      <c r="A123">
        <v>1980</v>
      </c>
      <c r="B123">
        <v>2</v>
      </c>
      <c r="C123" s="1">
        <f>DATE(Table2[[#This Row],[Year]],(Table2[[#This Row],[Quarter]]-1)*3+2,15)</f>
        <v>29356</v>
      </c>
      <c r="D123">
        <f>Table2[[#This Row],[Year]]+1/8+(Table2[[#This Row],[Quarter]]-1)/4</f>
        <v>1980.375</v>
      </c>
      <c r="E123">
        <f>Table2[[#This Row],[DecDate]]^2</f>
        <v>3921885.140625</v>
      </c>
      <c r="F123">
        <v>1107</v>
      </c>
      <c r="G123">
        <f>LN(Table2[[#This Row],[Expenditure]])</f>
        <v>7.0094089327086371</v>
      </c>
      <c r="H123">
        <f>$W$18+$W$19*Table2[[#This Row],[DecDate]]+$W$20*Table2[[#This Row],[DecDate2]]</f>
        <v>6.9722100754365215</v>
      </c>
      <c r="I123">
        <f>Table2[[#This Row],[Log Expenditure]]-Table2[[#This Row],[Quadratic Trend]]</f>
        <v>3.7198857272115582E-2</v>
      </c>
      <c r="J123">
        <f t="shared" si="1"/>
        <v>5.4165501649924511E-3</v>
      </c>
    </row>
    <row r="124" spans="1:10" x14ac:dyDescent="0.3">
      <c r="A124">
        <v>1980</v>
      </c>
      <c r="B124">
        <v>3</v>
      </c>
      <c r="C124" s="1">
        <f>DATE(Table2[[#This Row],[Year]],(Table2[[#This Row],[Quarter]]-1)*3+2,15)</f>
        <v>29448</v>
      </c>
      <c r="D124">
        <f>Table2[[#This Row],[Year]]+1/8+(Table2[[#This Row],[Quarter]]-1)/4</f>
        <v>1980.625</v>
      </c>
      <c r="E124">
        <f>Table2[[#This Row],[DecDate]]^2</f>
        <v>3922875.390625</v>
      </c>
      <c r="F124">
        <v>1047</v>
      </c>
      <c r="G124">
        <f>LN(Table2[[#This Row],[Expenditure]])</f>
        <v>6.953684210870537</v>
      </c>
      <c r="H124">
        <f>$W$18+$W$19*Table2[[#This Row],[DecDate]]+$W$20*Table2[[#This Row],[DecDate2]]</f>
        <v>6.9745572053826663</v>
      </c>
      <c r="I124">
        <f>Table2[[#This Row],[Log Expenditure]]-Table2[[#This Row],[Quadratic Trend]]</f>
        <v>-2.0872994512129317E-2</v>
      </c>
      <c r="J124">
        <f t="shared" si="1"/>
        <v>1.0146508672031018E-2</v>
      </c>
    </row>
    <row r="125" spans="1:10" x14ac:dyDescent="0.3">
      <c r="A125">
        <v>1980</v>
      </c>
      <c r="B125">
        <v>4</v>
      </c>
      <c r="C125" s="1">
        <f>DATE(Table2[[#This Row],[Year]],(Table2[[#This Row],[Quarter]]-1)*3+2,15)</f>
        <v>29540</v>
      </c>
      <c r="D125">
        <f>Table2[[#This Row],[Year]]+1/8+(Table2[[#This Row],[Quarter]]-1)/4</f>
        <v>1980.875</v>
      </c>
      <c r="E125">
        <f>Table2[[#This Row],[DecDate]]^2</f>
        <v>3923865.765625</v>
      </c>
      <c r="F125">
        <v>1062</v>
      </c>
      <c r="G125">
        <f>LN(Table2[[#This Row],[Expenditure]])</f>
        <v>6.9679092018018842</v>
      </c>
      <c r="H125">
        <f>$W$18+$W$19*Table2[[#This Row],[DecDate]]+$W$20*Table2[[#This Row],[DecDate2]]</f>
        <v>6.9768906192466602</v>
      </c>
      <c r="I125">
        <f>Table2[[#This Row],[Log Expenditure]]-Table2[[#This Row],[Quadratic Trend]]</f>
        <v>-8.9814174447759854E-3</v>
      </c>
      <c r="J125">
        <f t="shared" si="1"/>
        <v>8.544357048647911E-3</v>
      </c>
    </row>
    <row r="126" spans="1:10" x14ac:dyDescent="0.3">
      <c r="A126">
        <v>1981</v>
      </c>
      <c r="B126">
        <v>1</v>
      </c>
      <c r="C126" s="1">
        <f>DATE(Table2[[#This Row],[Year]],(Table2[[#This Row],[Quarter]]-1)*3+2,15)</f>
        <v>29632</v>
      </c>
      <c r="D126">
        <f>Table2[[#This Row],[Year]]+1/8+(Table2[[#This Row],[Quarter]]-1)/4</f>
        <v>1981.125</v>
      </c>
      <c r="E126">
        <f>Table2[[#This Row],[DecDate]]^2</f>
        <v>3924856.265625</v>
      </c>
      <c r="F126">
        <v>1093</v>
      </c>
      <c r="G126">
        <f>LN(Table2[[#This Row],[Expenditure]])</f>
        <v>6.9966814881765389</v>
      </c>
      <c r="H126">
        <f>$W$18+$W$19*Table2[[#This Row],[DecDate]]+$W$20*Table2[[#This Row],[DecDate2]]</f>
        <v>6.9792103170284463</v>
      </c>
      <c r="I126">
        <f>Table2[[#This Row],[Log Expenditure]]-Table2[[#This Row],[Quadratic Trend]]</f>
        <v>1.7471171148092601E-2</v>
      </c>
      <c r="J126">
        <f t="shared" si="1"/>
        <v>-8.7776852891085604E-3</v>
      </c>
    </row>
    <row r="127" spans="1:10" x14ac:dyDescent="0.3">
      <c r="A127">
        <v>1981</v>
      </c>
      <c r="B127">
        <v>2</v>
      </c>
      <c r="C127" s="1">
        <f>DATE(Table2[[#This Row],[Year]],(Table2[[#This Row],[Quarter]]-1)*3+2,15)</f>
        <v>29721</v>
      </c>
      <c r="D127">
        <f>Table2[[#This Row],[Year]]+1/8+(Table2[[#This Row],[Quarter]]-1)/4</f>
        <v>1981.375</v>
      </c>
      <c r="E127">
        <f>Table2[[#This Row],[DecDate]]^2</f>
        <v>3925846.890625</v>
      </c>
      <c r="F127">
        <v>1096</v>
      </c>
      <c r="G127">
        <f>LN(Table2[[#This Row],[Expenditure]])</f>
        <v>6.9994224675079613</v>
      </c>
      <c r="H127">
        <f>$W$18+$W$19*Table2[[#This Row],[DecDate]]+$W$20*Table2[[#This Row],[DecDate2]]</f>
        <v>6.9815162987280246</v>
      </c>
      <c r="I127">
        <f>Table2[[#This Row],[Log Expenditure]]-Table2[[#This Row],[Quadratic Trend]]</f>
        <v>1.7906168779936671E-2</v>
      </c>
      <c r="J127">
        <f t="shared" si="1"/>
        <v>-9.5612999807039856E-3</v>
      </c>
    </row>
    <row r="128" spans="1:10" x14ac:dyDescent="0.3">
      <c r="A128">
        <v>1981</v>
      </c>
      <c r="B128">
        <v>3</v>
      </c>
      <c r="C128" s="1">
        <f>DATE(Table2[[#This Row],[Year]],(Table2[[#This Row],[Quarter]]-1)*3+2,15)</f>
        <v>29813</v>
      </c>
      <c r="D128">
        <f>Table2[[#This Row],[Year]]+1/8+(Table2[[#This Row],[Quarter]]-1)/4</f>
        <v>1981.625</v>
      </c>
      <c r="E128">
        <f>Table2[[#This Row],[DecDate]]^2</f>
        <v>3926837.640625</v>
      </c>
      <c r="F128">
        <v>1027</v>
      </c>
      <c r="G128">
        <f>LN(Table2[[#This Row],[Expenditure]])</f>
        <v>6.9343972099285578</v>
      </c>
      <c r="H128">
        <f>$W$18+$W$19*Table2[[#This Row],[DecDate]]+$W$20*Table2[[#This Row],[DecDate2]]</f>
        <v>6.9838085643452246</v>
      </c>
      <c r="I128">
        <f>Table2[[#This Row],[Log Expenditure]]-Table2[[#This Row],[Quadratic Trend]]</f>
        <v>-4.9411354416666775E-2</v>
      </c>
      <c r="J128">
        <f t="shared" si="1"/>
        <v>-6.4654087917576323E-3</v>
      </c>
    </row>
    <row r="129" spans="1:10" x14ac:dyDescent="0.3">
      <c r="A129">
        <v>1981</v>
      </c>
      <c r="B129">
        <v>4</v>
      </c>
      <c r="C129" s="1">
        <f>DATE(Table2[[#This Row],[Year]],(Table2[[#This Row],[Quarter]]-1)*3+2,15)</f>
        <v>29905</v>
      </c>
      <c r="D129">
        <f>Table2[[#This Row],[Year]]+1/8+(Table2[[#This Row],[Quarter]]-1)/4</f>
        <v>1981.875</v>
      </c>
      <c r="E129">
        <f>Table2[[#This Row],[DecDate]]^2</f>
        <v>3927828.515625</v>
      </c>
      <c r="F129">
        <v>1055</v>
      </c>
      <c r="G129">
        <f>LN(Table2[[#This Row],[Expenditure]])</f>
        <v>6.9612960459101672</v>
      </c>
      <c r="H129">
        <f>$W$18+$W$19*Table2[[#This Row],[DecDate]]+$W$20*Table2[[#This Row],[DecDate2]]</f>
        <v>6.9860871138802736</v>
      </c>
      <c r="I129">
        <f>Table2[[#This Row],[Log Expenditure]]-Table2[[#This Row],[Quadratic Trend]]</f>
        <v>-2.479106797010644E-2</v>
      </c>
      <c r="J129">
        <f t="shared" si="1"/>
        <v>-5.4770980341883654E-3</v>
      </c>
    </row>
    <row r="130" spans="1:10" x14ac:dyDescent="0.3">
      <c r="A130">
        <v>1982</v>
      </c>
      <c r="B130">
        <v>1</v>
      </c>
      <c r="C130" s="1">
        <f>DATE(Table2[[#This Row],[Year]],(Table2[[#This Row],[Quarter]]-1)*3+2,15)</f>
        <v>29997</v>
      </c>
      <c r="D130">
        <f>Table2[[#This Row],[Year]]+1/8+(Table2[[#This Row],[Quarter]]-1)/4</f>
        <v>1982.125</v>
      </c>
      <c r="E130">
        <f>Table2[[#This Row],[DecDate]]^2</f>
        <v>3928819.515625</v>
      </c>
      <c r="F130">
        <v>1091</v>
      </c>
      <c r="G130">
        <f>LN(Table2[[#This Row],[Expenditure]])</f>
        <v>6.9948499858330706</v>
      </c>
      <c r="H130">
        <f>$W$18+$W$19*Table2[[#This Row],[DecDate]]+$W$20*Table2[[#This Row],[DecDate2]]</f>
        <v>6.9883519473331148</v>
      </c>
      <c r="I130">
        <f>Table2[[#This Row],[Log Expenditure]]-Table2[[#This Row],[Quadratic Trend]]</f>
        <v>6.4980384999557828E-3</v>
      </c>
      <c r="J130">
        <f t="shared" si="1"/>
        <v>-1.5936746329033902E-2</v>
      </c>
    </row>
    <row r="131" spans="1:10" x14ac:dyDescent="0.3">
      <c r="A131">
        <v>1982</v>
      </c>
      <c r="B131">
        <v>2</v>
      </c>
      <c r="C131" s="1">
        <f>DATE(Table2[[#This Row],[Year]],(Table2[[#This Row],[Quarter]]-1)*3+2,15)</f>
        <v>30086</v>
      </c>
      <c r="D131">
        <f>Table2[[#This Row],[Year]]+1/8+(Table2[[#This Row],[Quarter]]-1)/4</f>
        <v>1982.375</v>
      </c>
      <c r="E131">
        <f>Table2[[#This Row],[DecDate]]^2</f>
        <v>3929810.640625</v>
      </c>
      <c r="F131">
        <v>1111</v>
      </c>
      <c r="G131">
        <f>LN(Table2[[#This Row],[Expenditure]])</f>
        <v>7.0130157896396303</v>
      </c>
      <c r="H131">
        <f>$W$18+$W$19*Table2[[#This Row],[DecDate]]+$W$20*Table2[[#This Row],[DecDate2]]</f>
        <v>6.9906030647036914</v>
      </c>
      <c r="I131">
        <f>Table2[[#This Row],[Log Expenditure]]-Table2[[#This Row],[Quadratic Trend]]</f>
        <v>2.2412724935938932E-2</v>
      </c>
      <c r="J131">
        <f t="shared" si="1"/>
        <v>-6.8319282610687536E-3</v>
      </c>
    </row>
    <row r="132" spans="1:10" x14ac:dyDescent="0.3">
      <c r="A132">
        <v>1982</v>
      </c>
      <c r="B132">
        <v>3</v>
      </c>
      <c r="C132" s="1">
        <f>DATE(Table2[[#This Row],[Year]],(Table2[[#This Row],[Quarter]]-1)*3+2,15)</f>
        <v>30178</v>
      </c>
      <c r="D132">
        <f>Table2[[#This Row],[Year]]+1/8+(Table2[[#This Row],[Quarter]]-1)/4</f>
        <v>1982.625</v>
      </c>
      <c r="E132">
        <f>Table2[[#This Row],[DecDate]]^2</f>
        <v>3930801.890625</v>
      </c>
      <c r="F132">
        <v>1052</v>
      </c>
      <c r="G132">
        <f>LN(Table2[[#This Row],[Expenditure]])</f>
        <v>6.9584483932976555</v>
      </c>
      <c r="H132">
        <f>$W$18+$W$19*Table2[[#This Row],[DecDate]]+$W$20*Table2[[#This Row],[DecDate2]]</f>
        <v>6.9928404659919465</v>
      </c>
      <c r="I132">
        <f>Table2[[#This Row],[Log Expenditure]]-Table2[[#This Row],[Quadratic Trend]]</f>
        <v>-3.4392072694291009E-2</v>
      </c>
      <c r="J132">
        <f t="shared" si="1"/>
        <v>4.6660436098516552E-3</v>
      </c>
    </row>
    <row r="133" spans="1:10" x14ac:dyDescent="0.3">
      <c r="A133">
        <v>1982</v>
      </c>
      <c r="B133">
        <v>4</v>
      </c>
      <c r="C133" s="1">
        <f>DATE(Table2[[#This Row],[Year]],(Table2[[#This Row],[Quarter]]-1)*3+2,15)</f>
        <v>30270</v>
      </c>
      <c r="D133">
        <f>Table2[[#This Row],[Year]]+1/8+(Table2[[#This Row],[Quarter]]-1)/4</f>
        <v>1982.875</v>
      </c>
      <c r="E133">
        <f>Table2[[#This Row],[DecDate]]^2</f>
        <v>3931793.265625</v>
      </c>
      <c r="F133">
        <v>1087</v>
      </c>
      <c r="G133">
        <f>LN(Table2[[#This Row],[Expenditure]])</f>
        <v>6.9911768871212097</v>
      </c>
      <c r="H133">
        <f>$W$18+$W$19*Table2[[#This Row],[DecDate]]+$W$20*Table2[[#This Row],[DecDate2]]</f>
        <v>6.9950641511980507</v>
      </c>
      <c r="I133">
        <f>Table2[[#This Row],[Log Expenditure]]-Table2[[#This Row],[Quadratic Trend]]</f>
        <v>-3.8872640768410349E-3</v>
      </c>
      <c r="J133">
        <f t="shared" ref="J133:J196" si="2">AVERAGE(I131:I135)</f>
        <v>1.1754693996140908E-2</v>
      </c>
    </row>
    <row r="134" spans="1:10" x14ac:dyDescent="0.3">
      <c r="A134">
        <v>1983</v>
      </c>
      <c r="B134">
        <v>1</v>
      </c>
      <c r="C134" s="1">
        <f>DATE(Table2[[#This Row],[Year]],(Table2[[#This Row],[Quarter]]-1)*3+2,15)</f>
        <v>30362</v>
      </c>
      <c r="D134">
        <f>Table2[[#This Row],[Year]]+1/8+(Table2[[#This Row],[Quarter]]-1)/4</f>
        <v>1983.125</v>
      </c>
      <c r="E134">
        <f>Table2[[#This Row],[DecDate]]^2</f>
        <v>3932784.765625</v>
      </c>
      <c r="F134">
        <v>1130</v>
      </c>
      <c r="G134">
        <f>LN(Table2[[#This Row],[Expenditure]])</f>
        <v>7.0299729117063858</v>
      </c>
      <c r="H134">
        <f>$W$18+$W$19*Table2[[#This Row],[DecDate]]+$W$20*Table2[[#This Row],[DecDate2]]</f>
        <v>6.9972741203218902</v>
      </c>
      <c r="I134">
        <f>Table2[[#This Row],[Log Expenditure]]-Table2[[#This Row],[Quadratic Trend]]</f>
        <v>3.2698791384495607E-2</v>
      </c>
      <c r="J134">
        <f t="shared" si="2"/>
        <v>1.8373491493957061E-3</v>
      </c>
    </row>
    <row r="135" spans="1:10" x14ac:dyDescent="0.3">
      <c r="A135">
        <v>1983</v>
      </c>
      <c r="B135">
        <v>2</v>
      </c>
      <c r="C135" s="1">
        <f>DATE(Table2[[#This Row],[Year]],(Table2[[#This Row],[Quarter]]-1)*3+2,15)</f>
        <v>30451</v>
      </c>
      <c r="D135">
        <f>Table2[[#This Row],[Year]]+1/8+(Table2[[#This Row],[Quarter]]-1)/4</f>
        <v>1983.375</v>
      </c>
      <c r="E135">
        <f>Table2[[#This Row],[DecDate]]^2</f>
        <v>3933776.390625</v>
      </c>
      <c r="F135">
        <v>1143</v>
      </c>
      <c r="G135">
        <f>LN(Table2[[#This Row],[Expenditure]])</f>
        <v>7.0414116637948103</v>
      </c>
      <c r="H135">
        <f>$W$18+$W$19*Table2[[#This Row],[DecDate]]+$W$20*Table2[[#This Row],[DecDate2]]</f>
        <v>6.9994703733634083</v>
      </c>
      <c r="I135">
        <f>Table2[[#This Row],[Log Expenditure]]-Table2[[#This Row],[Quadratic Trend]]</f>
        <v>4.1941290431402045E-2</v>
      </c>
      <c r="J135">
        <f t="shared" si="2"/>
        <v>8.0183095033016013E-3</v>
      </c>
    </row>
    <row r="136" spans="1:10" x14ac:dyDescent="0.3">
      <c r="A136">
        <v>1983</v>
      </c>
      <c r="B136">
        <v>3</v>
      </c>
      <c r="C136" s="1">
        <f>DATE(Table2[[#This Row],[Year]],(Table2[[#This Row],[Quarter]]-1)*3+2,15)</f>
        <v>30543</v>
      </c>
      <c r="D136">
        <f>Table2[[#This Row],[Year]]+1/8+(Table2[[#This Row],[Quarter]]-1)/4</f>
        <v>1983.625</v>
      </c>
      <c r="E136">
        <f>Table2[[#This Row],[DecDate]]^2</f>
        <v>3934768.140625</v>
      </c>
      <c r="F136">
        <v>1069</v>
      </c>
      <c r="G136">
        <f>LN(Table2[[#This Row],[Expenditure]])</f>
        <v>6.9744789110250451</v>
      </c>
      <c r="H136">
        <f>$W$18+$W$19*Table2[[#This Row],[DecDate]]+$W$20*Table2[[#This Row],[DecDate2]]</f>
        <v>7.0016529103228322</v>
      </c>
      <c r="I136">
        <f>Table2[[#This Row],[Log Expenditure]]-Table2[[#This Row],[Quadratic Trend]]</f>
        <v>-2.7173999297787077E-2</v>
      </c>
      <c r="J136">
        <f t="shared" si="2"/>
        <v>1.3417907949624918E-2</v>
      </c>
    </row>
    <row r="137" spans="1:10" x14ac:dyDescent="0.3">
      <c r="A137">
        <v>1983</v>
      </c>
      <c r="B137">
        <v>4</v>
      </c>
      <c r="C137" s="1">
        <f>DATE(Table2[[#This Row],[Year]],(Table2[[#This Row],[Quarter]]-1)*3+2,15)</f>
        <v>30635</v>
      </c>
      <c r="D137">
        <f>Table2[[#This Row],[Year]]+1/8+(Table2[[#This Row],[Quarter]]-1)/4</f>
        <v>1983.875</v>
      </c>
      <c r="E137">
        <f>Table2[[#This Row],[DecDate]]^2</f>
        <v>3935760.015625</v>
      </c>
      <c r="F137">
        <v>1097</v>
      </c>
      <c r="G137">
        <f>LN(Table2[[#This Row],[Expenditure]])</f>
        <v>7.00033446027523</v>
      </c>
      <c r="H137">
        <f>$W$18+$W$19*Table2[[#This Row],[DecDate]]+$W$20*Table2[[#This Row],[DecDate2]]</f>
        <v>7.0038217311999915</v>
      </c>
      <c r="I137">
        <f>Table2[[#This Row],[Log Expenditure]]-Table2[[#This Row],[Quadratic Trend]]</f>
        <v>-3.4872709247615319E-3</v>
      </c>
      <c r="J137">
        <f t="shared" si="2"/>
        <v>1.4409820107136184E-2</v>
      </c>
    </row>
    <row r="138" spans="1:10" x14ac:dyDescent="0.3">
      <c r="A138">
        <v>1984</v>
      </c>
      <c r="B138">
        <v>1</v>
      </c>
      <c r="C138" s="1">
        <f>DATE(Table2[[#This Row],[Year]],(Table2[[#This Row],[Quarter]]-1)*3+2,15)</f>
        <v>30727</v>
      </c>
      <c r="D138">
        <f>Table2[[#This Row],[Year]]+1/8+(Table2[[#This Row],[Quarter]]-1)/4</f>
        <v>1984.125</v>
      </c>
      <c r="E138">
        <f>Table2[[#This Row],[DecDate]]^2</f>
        <v>3936752.015625</v>
      </c>
      <c r="F138">
        <v>1129</v>
      </c>
      <c r="G138">
        <f>LN(Table2[[#This Row],[Expenditure]])</f>
        <v>7.0290875641496617</v>
      </c>
      <c r="H138">
        <f>$W$18+$W$19*Table2[[#This Row],[DecDate]]+$W$20*Table2[[#This Row],[DecDate2]]</f>
        <v>7.0059768359948862</v>
      </c>
      <c r="I138">
        <f>Table2[[#This Row],[Log Expenditure]]-Table2[[#This Row],[Quadratic Trend]]</f>
        <v>2.3110728154775551E-2</v>
      </c>
      <c r="J138">
        <f t="shared" si="2"/>
        <v>5.4493284706786933E-4</v>
      </c>
    </row>
    <row r="139" spans="1:10" x14ac:dyDescent="0.3">
      <c r="A139">
        <v>1984</v>
      </c>
      <c r="B139">
        <v>2</v>
      </c>
      <c r="C139" s="1">
        <f>DATE(Table2[[#This Row],[Year]],(Table2[[#This Row],[Quarter]]-1)*3+2,15)</f>
        <v>30817</v>
      </c>
      <c r="D139">
        <f>Table2[[#This Row],[Year]]+1/8+(Table2[[#This Row],[Quarter]]-1)/4</f>
        <v>1984.375</v>
      </c>
      <c r="E139">
        <f>Table2[[#This Row],[DecDate]]^2</f>
        <v>3937744.140625</v>
      </c>
      <c r="F139">
        <v>1148</v>
      </c>
      <c r="G139">
        <f>LN(Table2[[#This Row],[Expenditure]])</f>
        <v>7.0457765768795113</v>
      </c>
      <c r="H139">
        <f>$W$18+$W$19*Table2[[#This Row],[DecDate]]+$W$20*Table2[[#This Row],[DecDate2]]</f>
        <v>7.0081182247074594</v>
      </c>
      <c r="I139">
        <f>Table2[[#This Row],[Log Expenditure]]-Table2[[#This Row],[Quadratic Trend]]</f>
        <v>3.7658352172051934E-2</v>
      </c>
      <c r="J139">
        <f t="shared" si="2"/>
        <v>6.8296987082613111E-3</v>
      </c>
    </row>
    <row r="140" spans="1:10" x14ac:dyDescent="0.3">
      <c r="A140">
        <v>1984</v>
      </c>
      <c r="B140">
        <v>3</v>
      </c>
      <c r="C140" s="1">
        <f>DATE(Table2[[#This Row],[Year]],(Table2[[#This Row],[Quarter]]-1)*3+2,15)</f>
        <v>30909</v>
      </c>
      <c r="D140">
        <f>Table2[[#This Row],[Year]]+1/8+(Table2[[#This Row],[Quarter]]-1)/4</f>
        <v>1984.625</v>
      </c>
      <c r="E140">
        <f>Table2[[#This Row],[DecDate]]^2</f>
        <v>3938736.390625</v>
      </c>
      <c r="F140">
        <v>1078</v>
      </c>
      <c r="G140">
        <f>LN(Table2[[#This Row],[Expenditure]])</f>
        <v>6.9828627514689421</v>
      </c>
      <c r="H140">
        <f>$W$18+$W$19*Table2[[#This Row],[DecDate]]+$W$20*Table2[[#This Row],[DecDate2]]</f>
        <v>7.0102458973378816</v>
      </c>
      <c r="I140">
        <f>Table2[[#This Row],[Log Expenditure]]-Table2[[#This Row],[Quadratic Trend]]</f>
        <v>-2.7383145868939529E-2</v>
      </c>
      <c r="J140">
        <f t="shared" si="2"/>
        <v>1.5352279461551177E-2</v>
      </c>
    </row>
    <row r="141" spans="1:10" x14ac:dyDescent="0.3">
      <c r="A141">
        <v>1984</v>
      </c>
      <c r="B141">
        <v>4</v>
      </c>
      <c r="C141" s="1">
        <f>DATE(Table2[[#This Row],[Year]],(Table2[[#This Row],[Quarter]]-1)*3+2,15)</f>
        <v>31001</v>
      </c>
      <c r="D141">
        <f>Table2[[#This Row],[Year]]+1/8+(Table2[[#This Row],[Quarter]]-1)/4</f>
        <v>1984.875</v>
      </c>
      <c r="E141">
        <f>Table2[[#This Row],[DecDate]]^2</f>
        <v>3939728.765625</v>
      </c>
      <c r="F141">
        <v>1115</v>
      </c>
      <c r="G141">
        <f>LN(Table2[[#This Row],[Expenditure]])</f>
        <v>7.0166096838942194</v>
      </c>
      <c r="H141">
        <f>$W$18+$W$19*Table2[[#This Row],[DecDate]]+$W$20*Table2[[#This Row],[DecDate2]]</f>
        <v>7.0123598538860392</v>
      </c>
      <c r="I141">
        <f>Table2[[#This Row],[Log Expenditure]]-Table2[[#This Row],[Quadratic Trend]]</f>
        <v>4.2498300081801332E-3</v>
      </c>
      <c r="J141">
        <f t="shared" si="2"/>
        <v>1.8137955522207962E-2</v>
      </c>
    </row>
    <row r="142" spans="1:10" x14ac:dyDescent="0.3">
      <c r="A142">
        <v>1985</v>
      </c>
      <c r="B142">
        <v>1</v>
      </c>
      <c r="C142" s="1">
        <f>DATE(Table2[[#This Row],[Year]],(Table2[[#This Row],[Quarter]]-1)*3+2,15)</f>
        <v>31093</v>
      </c>
      <c r="D142">
        <f>Table2[[#This Row],[Year]]+1/8+(Table2[[#This Row],[Quarter]]-1)/4</f>
        <v>1985.125</v>
      </c>
      <c r="E142">
        <f>Table2[[#This Row],[DecDate]]^2</f>
        <v>3940721.265625</v>
      </c>
      <c r="F142">
        <v>1157</v>
      </c>
      <c r="G142">
        <f>LN(Table2[[#This Row],[Expenditure]])</f>
        <v>7.0535857271936768</v>
      </c>
      <c r="H142">
        <f>$W$18+$W$19*Table2[[#This Row],[DecDate]]+$W$20*Table2[[#This Row],[DecDate2]]</f>
        <v>7.014460094351989</v>
      </c>
      <c r="I142">
        <f>Table2[[#This Row],[Log Expenditure]]-Table2[[#This Row],[Quadratic Trend]]</f>
        <v>3.9125632841687796E-2</v>
      </c>
      <c r="J142">
        <f t="shared" si="2"/>
        <v>4.9336997791547431E-3</v>
      </c>
    </row>
    <row r="143" spans="1:10" x14ac:dyDescent="0.3">
      <c r="A143">
        <v>1985</v>
      </c>
      <c r="B143">
        <v>2</v>
      </c>
      <c r="C143" s="1">
        <f>DATE(Table2[[#This Row],[Year]],(Table2[[#This Row],[Quarter]]-1)*3+2,15)</f>
        <v>31182</v>
      </c>
      <c r="D143">
        <f>Table2[[#This Row],[Year]]+1/8+(Table2[[#This Row],[Quarter]]-1)/4</f>
        <v>1985.375</v>
      </c>
      <c r="E143">
        <f>Table2[[#This Row],[DecDate]]^2</f>
        <v>3941713.890625</v>
      </c>
      <c r="F143">
        <v>1157</v>
      </c>
      <c r="G143">
        <f>LN(Table2[[#This Row],[Expenditure]])</f>
        <v>7.0535857271936768</v>
      </c>
      <c r="H143">
        <f>$W$18+$W$19*Table2[[#This Row],[DecDate]]+$W$20*Table2[[#This Row],[DecDate2]]</f>
        <v>7.0165466187356174</v>
      </c>
      <c r="I143">
        <f>Table2[[#This Row],[Log Expenditure]]-Table2[[#This Row],[Quadratic Trend]]</f>
        <v>3.7039108458059466E-2</v>
      </c>
      <c r="J143">
        <f t="shared" si="2"/>
        <v>1.2092137931613501E-2</v>
      </c>
    </row>
    <row r="144" spans="1:10" x14ac:dyDescent="0.3">
      <c r="A144">
        <v>1985</v>
      </c>
      <c r="B144">
        <v>3</v>
      </c>
      <c r="C144" s="1">
        <f>DATE(Table2[[#This Row],[Year]],(Table2[[#This Row],[Quarter]]-1)*3+2,15)</f>
        <v>31274</v>
      </c>
      <c r="D144">
        <f>Table2[[#This Row],[Year]]+1/8+(Table2[[#This Row],[Quarter]]-1)/4</f>
        <v>1985.625</v>
      </c>
      <c r="E144">
        <f>Table2[[#This Row],[DecDate]]^2</f>
        <v>3942706.640625</v>
      </c>
      <c r="F144">
        <v>1086</v>
      </c>
      <c r="G144">
        <f>LN(Table2[[#This Row],[Expenditure]])</f>
        <v>6.9902565004938806</v>
      </c>
      <c r="H144">
        <f>$W$18+$W$19*Table2[[#This Row],[DecDate]]+$W$20*Table2[[#This Row],[DecDate2]]</f>
        <v>7.0186194270370947</v>
      </c>
      <c r="I144">
        <f>Table2[[#This Row],[Log Expenditure]]-Table2[[#This Row],[Quadratic Trend]]</f>
        <v>-2.8362926543214151E-2</v>
      </c>
      <c r="J144">
        <f t="shared" si="2"/>
        <v>1.6721896905126776E-2</v>
      </c>
    </row>
    <row r="145" spans="1:10" x14ac:dyDescent="0.3">
      <c r="A145">
        <v>1985</v>
      </c>
      <c r="B145">
        <v>4</v>
      </c>
      <c r="C145" s="1">
        <f>DATE(Table2[[#This Row],[Year]],(Table2[[#This Row],[Quarter]]-1)*3+2,15)</f>
        <v>31366</v>
      </c>
      <c r="D145">
        <f>Table2[[#This Row],[Year]]+1/8+(Table2[[#This Row],[Quarter]]-1)/4</f>
        <v>1985.875</v>
      </c>
      <c r="E145">
        <f>Table2[[#This Row],[DecDate]]^2</f>
        <v>3943699.515625</v>
      </c>
      <c r="F145">
        <v>1129</v>
      </c>
      <c r="G145">
        <f>LN(Table2[[#This Row],[Expenditure]])</f>
        <v>7.0290875641496617</v>
      </c>
      <c r="H145">
        <f>$W$18+$W$19*Table2[[#This Row],[DecDate]]+$W$20*Table2[[#This Row],[DecDate2]]</f>
        <v>7.0206785192563075</v>
      </c>
      <c r="I145">
        <f>Table2[[#This Row],[Log Expenditure]]-Table2[[#This Row],[Quadratic Trend]]</f>
        <v>8.4090448933542561E-3</v>
      </c>
      <c r="J145">
        <f t="shared" si="2"/>
        <v>1.5180716067283485E-2</v>
      </c>
    </row>
    <row r="146" spans="1:10" x14ac:dyDescent="0.3">
      <c r="A146">
        <v>1986</v>
      </c>
      <c r="B146">
        <v>1</v>
      </c>
      <c r="C146" s="1">
        <f>DATE(Table2[[#This Row],[Year]],(Table2[[#This Row],[Quarter]]-1)*3+2,15)</f>
        <v>31458</v>
      </c>
      <c r="D146">
        <f>Table2[[#This Row],[Year]]+1/8+(Table2[[#This Row],[Quarter]]-1)/4</f>
        <v>1986.125</v>
      </c>
      <c r="E146">
        <f>Table2[[#This Row],[DecDate]]^2</f>
        <v>3944692.515625</v>
      </c>
      <c r="F146">
        <v>1153</v>
      </c>
      <c r="G146">
        <f>LN(Table2[[#This Row],[Expenditure]])</f>
        <v>7.0501225202690589</v>
      </c>
      <c r="H146">
        <f>$W$18+$W$19*Table2[[#This Row],[DecDate]]+$W$20*Table2[[#This Row],[DecDate2]]</f>
        <v>7.0227238953933124</v>
      </c>
      <c r="I146">
        <f>Table2[[#This Row],[Log Expenditure]]-Table2[[#This Row],[Quadratic Trend]]</f>
        <v>2.7398624875746513E-2</v>
      </c>
      <c r="J146">
        <f t="shared" si="2"/>
        <v>1.571425752547384E-3</v>
      </c>
    </row>
    <row r="147" spans="1:10" x14ac:dyDescent="0.3">
      <c r="A147">
        <v>1986</v>
      </c>
      <c r="B147">
        <v>2</v>
      </c>
      <c r="C147" s="1">
        <f>DATE(Table2[[#This Row],[Year]],(Table2[[#This Row],[Quarter]]-1)*3+2,15)</f>
        <v>31547</v>
      </c>
      <c r="D147">
        <f>Table2[[#This Row],[Year]]+1/8+(Table2[[#This Row],[Quarter]]-1)/4</f>
        <v>1986.375</v>
      </c>
      <c r="E147">
        <f>Table2[[#This Row],[DecDate]]^2</f>
        <v>3945685.640625</v>
      </c>
      <c r="F147">
        <v>1160</v>
      </c>
      <c r="G147">
        <f>LN(Table2[[#This Row],[Expenditure]])</f>
        <v>7.0561752841004104</v>
      </c>
      <c r="H147">
        <f>$W$18+$W$19*Table2[[#This Row],[DecDate]]+$W$20*Table2[[#This Row],[DecDate2]]</f>
        <v>7.0247555554479391</v>
      </c>
      <c r="I147">
        <f>Table2[[#This Row],[Log Expenditure]]-Table2[[#This Row],[Quadratic Trend]]</f>
        <v>3.1419728652471335E-2</v>
      </c>
      <c r="J147">
        <f t="shared" si="2"/>
        <v>8.0133178046436267E-3</v>
      </c>
    </row>
    <row r="148" spans="1:10" x14ac:dyDescent="0.3">
      <c r="A148">
        <v>1986</v>
      </c>
      <c r="B148">
        <v>3</v>
      </c>
      <c r="C148" s="1">
        <f>DATE(Table2[[#This Row],[Year]],(Table2[[#This Row],[Quarter]]-1)*3+2,15)</f>
        <v>31639</v>
      </c>
      <c r="D148">
        <f>Table2[[#This Row],[Year]]+1/8+(Table2[[#This Row],[Quarter]]-1)/4</f>
        <v>1986.625</v>
      </c>
      <c r="E148">
        <f>Table2[[#This Row],[DecDate]]^2</f>
        <v>3946678.890625</v>
      </c>
      <c r="F148">
        <v>1092</v>
      </c>
      <c r="G148">
        <f>LN(Table2[[#This Row],[Expenditure]])</f>
        <v>6.9957661563048505</v>
      </c>
      <c r="H148">
        <f>$W$18+$W$19*Table2[[#This Row],[DecDate]]+$W$20*Table2[[#This Row],[DecDate2]]</f>
        <v>7.0267734994204716</v>
      </c>
      <c r="I148">
        <f>Table2[[#This Row],[Log Expenditure]]-Table2[[#This Row],[Quadratic Trend]]</f>
        <v>-3.1007343115621033E-2</v>
      </c>
      <c r="J148">
        <f t="shared" si="2"/>
        <v>1.0722070848700227E-2</v>
      </c>
    </row>
    <row r="149" spans="1:10" x14ac:dyDescent="0.3">
      <c r="A149">
        <v>1986</v>
      </c>
      <c r="B149">
        <v>4</v>
      </c>
      <c r="C149" s="1">
        <f>DATE(Table2[[#This Row],[Year]],(Table2[[#This Row],[Quarter]]-1)*3+2,15)</f>
        <v>31731</v>
      </c>
      <c r="D149">
        <f>Table2[[#This Row],[Year]]+1/8+(Table2[[#This Row],[Quarter]]-1)/4</f>
        <v>1986.875</v>
      </c>
      <c r="E149">
        <f>Table2[[#This Row],[DecDate]]^2</f>
        <v>3947672.265625</v>
      </c>
      <c r="F149">
        <v>1133</v>
      </c>
      <c r="G149">
        <f>LN(Table2[[#This Row],[Expenditure]])</f>
        <v>7.0326242610280065</v>
      </c>
      <c r="H149">
        <f>$W$18+$W$19*Table2[[#This Row],[DecDate]]+$W$20*Table2[[#This Row],[DecDate2]]</f>
        <v>7.0287777273107395</v>
      </c>
      <c r="I149">
        <f>Table2[[#This Row],[Log Expenditure]]-Table2[[#This Row],[Quadratic Trend]]</f>
        <v>3.8465337172670644E-3</v>
      </c>
      <c r="J149">
        <f t="shared" si="2"/>
        <v>1.044496940838755E-2</v>
      </c>
    </row>
    <row r="150" spans="1:10" x14ac:dyDescent="0.3">
      <c r="A150">
        <v>1987</v>
      </c>
      <c r="B150">
        <v>1</v>
      </c>
      <c r="C150" s="1">
        <f>DATE(Table2[[#This Row],[Year]],(Table2[[#This Row],[Quarter]]-1)*3+2,15)</f>
        <v>31823</v>
      </c>
      <c r="D150">
        <f>Table2[[#This Row],[Year]]+1/8+(Table2[[#This Row],[Quarter]]-1)/4</f>
        <v>1987.125</v>
      </c>
      <c r="E150">
        <f>Table2[[#This Row],[DecDate]]^2</f>
        <v>3948665.765625</v>
      </c>
      <c r="F150">
        <v>1156</v>
      </c>
      <c r="G150">
        <f>LN(Table2[[#This Row],[Expenditure]])</f>
        <v>7.0527210492323231</v>
      </c>
      <c r="H150">
        <f>$W$18+$W$19*Table2[[#This Row],[DecDate]]+$W$20*Table2[[#This Row],[DecDate2]]</f>
        <v>7.0307682391186859</v>
      </c>
      <c r="I150">
        <f>Table2[[#This Row],[Log Expenditure]]-Table2[[#This Row],[Quadratic Trend]]</f>
        <v>2.1952810113637256E-2</v>
      </c>
      <c r="J150">
        <f t="shared" si="2"/>
        <v>-4.3613137365316138E-3</v>
      </c>
    </row>
    <row r="151" spans="1:10" x14ac:dyDescent="0.3">
      <c r="A151">
        <v>1987</v>
      </c>
      <c r="B151">
        <v>2</v>
      </c>
      <c r="C151" s="1">
        <f>DATE(Table2[[#This Row],[Year]],(Table2[[#This Row],[Quarter]]-1)*3+2,15)</f>
        <v>31912</v>
      </c>
      <c r="D151">
        <f>Table2[[#This Row],[Year]]+1/8+(Table2[[#This Row],[Quarter]]-1)/4</f>
        <v>1987.375</v>
      </c>
      <c r="E151">
        <f>Table2[[#This Row],[DecDate]]^2</f>
        <v>3949659.390625</v>
      </c>
      <c r="F151">
        <v>1163</v>
      </c>
      <c r="G151">
        <f>LN(Table2[[#This Row],[Expenditure]])</f>
        <v>7.0587581525186645</v>
      </c>
      <c r="H151">
        <f>$W$18+$W$19*Table2[[#This Row],[DecDate]]+$W$20*Table2[[#This Row],[DecDate2]]</f>
        <v>7.0327450348444813</v>
      </c>
      <c r="I151">
        <f>Table2[[#This Row],[Log Expenditure]]-Table2[[#This Row],[Quadratic Trend]]</f>
        <v>2.6013117674183128E-2</v>
      </c>
      <c r="J151">
        <f t="shared" si="2"/>
        <v>-5.6153463254720042E-4</v>
      </c>
    </row>
    <row r="152" spans="1:10" x14ac:dyDescent="0.3">
      <c r="A152">
        <v>1987</v>
      </c>
      <c r="B152">
        <v>3</v>
      </c>
      <c r="C152" s="1">
        <f>DATE(Table2[[#This Row],[Year]],(Table2[[#This Row],[Quarter]]-1)*3+2,15)</f>
        <v>32004</v>
      </c>
      <c r="D152">
        <f>Table2[[#This Row],[Year]]+1/8+(Table2[[#This Row],[Quarter]]-1)/4</f>
        <v>1987.625</v>
      </c>
      <c r="E152">
        <f>Table2[[#This Row],[DecDate]]^2</f>
        <v>3950653.140625</v>
      </c>
      <c r="F152">
        <v>1088</v>
      </c>
      <c r="G152">
        <f>LN(Table2[[#This Row],[Expenditure]])</f>
        <v>6.9920964274158877</v>
      </c>
      <c r="H152">
        <f>$W$18+$W$19*Table2[[#This Row],[DecDate]]+$W$20*Table2[[#This Row],[DecDate2]]</f>
        <v>7.0347081144880121</v>
      </c>
      <c r="I152">
        <f>Table2[[#This Row],[Log Expenditure]]-Table2[[#This Row],[Quadratic Trend]]</f>
        <v>-4.2611687072124482E-2</v>
      </c>
      <c r="J152">
        <f t="shared" si="2"/>
        <v>2.7998908809454546E-4</v>
      </c>
    </row>
    <row r="153" spans="1:10" x14ac:dyDescent="0.3">
      <c r="A153">
        <v>1987</v>
      </c>
      <c r="B153">
        <v>4</v>
      </c>
      <c r="C153" s="1">
        <f>DATE(Table2[[#This Row],[Year]],(Table2[[#This Row],[Quarter]]-1)*3+2,15)</f>
        <v>32096</v>
      </c>
      <c r="D153">
        <f>Table2[[#This Row],[Year]]+1/8+(Table2[[#This Row],[Quarter]]-1)/4</f>
        <v>1987.875</v>
      </c>
      <c r="E153">
        <f>Table2[[#This Row],[DecDate]]^2</f>
        <v>3951647.015625</v>
      </c>
      <c r="F153">
        <v>1124</v>
      </c>
      <c r="G153">
        <f>LN(Table2[[#This Row],[Expenditure]])</f>
        <v>7.0246490304536362</v>
      </c>
      <c r="H153">
        <f>$W$18+$W$19*Table2[[#This Row],[DecDate]]+$W$20*Table2[[#This Row],[DecDate2]]</f>
        <v>7.0366574780493352</v>
      </c>
      <c r="I153">
        <f>Table2[[#This Row],[Log Expenditure]]-Table2[[#This Row],[Quadratic Trend]]</f>
        <v>-1.2008447595698968E-2</v>
      </c>
      <c r="J153">
        <f t="shared" si="2"/>
        <v>-2.9005866138245298E-4</v>
      </c>
    </row>
    <row r="154" spans="1:10" x14ac:dyDescent="0.3">
      <c r="A154">
        <v>1988</v>
      </c>
      <c r="B154">
        <v>1</v>
      </c>
      <c r="C154" s="1">
        <f>DATE(Table2[[#This Row],[Year]],(Table2[[#This Row],[Quarter]]-1)*3+2,15)</f>
        <v>32188</v>
      </c>
      <c r="D154">
        <f>Table2[[#This Row],[Year]]+1/8+(Table2[[#This Row],[Quarter]]-1)/4</f>
        <v>1988.125</v>
      </c>
      <c r="E154">
        <f>Table2[[#This Row],[DecDate]]^2</f>
        <v>3952641.015625</v>
      </c>
      <c r="F154">
        <v>1149</v>
      </c>
      <c r="G154">
        <f>LN(Table2[[#This Row],[Expenditure]])</f>
        <v>7.0466472778487557</v>
      </c>
      <c r="H154">
        <f>$W$18+$W$19*Table2[[#This Row],[DecDate]]+$W$20*Table2[[#This Row],[DecDate2]]</f>
        <v>7.0385931255282799</v>
      </c>
      <c r="I154">
        <f>Table2[[#This Row],[Log Expenditure]]-Table2[[#This Row],[Quadratic Trend]]</f>
        <v>8.0541523204757937E-3</v>
      </c>
      <c r="J154">
        <f t="shared" si="2"/>
        <v>-1.4092843142570111E-2</v>
      </c>
    </row>
    <row r="155" spans="1:10" x14ac:dyDescent="0.3">
      <c r="A155">
        <v>1988</v>
      </c>
      <c r="B155">
        <v>2</v>
      </c>
      <c r="C155" s="1">
        <f>DATE(Table2[[#This Row],[Year]],(Table2[[#This Row],[Quarter]]-1)*3+2,15)</f>
        <v>32278</v>
      </c>
      <c r="D155">
        <f>Table2[[#This Row],[Year]]+1/8+(Table2[[#This Row],[Quarter]]-1)/4</f>
        <v>1988.375</v>
      </c>
      <c r="E155">
        <f>Table2[[#This Row],[DecDate]]^2</f>
        <v>3953635.140625</v>
      </c>
      <c r="F155">
        <v>1164</v>
      </c>
      <c r="G155">
        <f>LN(Table2[[#This Row],[Expenditure]])</f>
        <v>7.0596176282913827</v>
      </c>
      <c r="H155">
        <f>$W$18+$W$19*Table2[[#This Row],[DecDate]]+$W$20*Table2[[#This Row],[DecDate2]]</f>
        <v>7.0405150569251305</v>
      </c>
      <c r="I155">
        <f>Table2[[#This Row],[Log Expenditure]]-Table2[[#This Row],[Quadratic Trend]]</f>
        <v>1.9102571366252263E-2</v>
      </c>
      <c r="J155">
        <f t="shared" si="2"/>
        <v>-9.6822690748755488E-3</v>
      </c>
    </row>
    <row r="156" spans="1:10" x14ac:dyDescent="0.3">
      <c r="A156">
        <v>1988</v>
      </c>
      <c r="B156">
        <v>3</v>
      </c>
      <c r="C156" s="1">
        <f>DATE(Table2[[#This Row],[Year]],(Table2[[#This Row],[Quarter]]-1)*3+2,15)</f>
        <v>32370</v>
      </c>
      <c r="D156">
        <f>Table2[[#This Row],[Year]]+1/8+(Table2[[#This Row],[Quarter]]-1)/4</f>
        <v>1988.625</v>
      </c>
      <c r="E156">
        <f>Table2[[#This Row],[DecDate]]^2</f>
        <v>3954629.390625</v>
      </c>
      <c r="F156">
        <v>1096</v>
      </c>
      <c r="G156">
        <f>LN(Table2[[#This Row],[Expenditure]])</f>
        <v>6.9994224675079613</v>
      </c>
      <c r="H156">
        <f>$W$18+$W$19*Table2[[#This Row],[DecDate]]+$W$20*Table2[[#This Row],[DecDate2]]</f>
        <v>7.0424232722397164</v>
      </c>
      <c r="I156">
        <f>Table2[[#This Row],[Log Expenditure]]-Table2[[#This Row],[Quadratic Trend]]</f>
        <v>-4.300080473175516E-2</v>
      </c>
      <c r="J156">
        <f t="shared" si="2"/>
        <v>-7.3649751042523803E-3</v>
      </c>
    </row>
    <row r="157" spans="1:10" x14ac:dyDescent="0.3">
      <c r="A157">
        <v>1988</v>
      </c>
      <c r="B157">
        <v>4</v>
      </c>
      <c r="C157" s="1">
        <f>DATE(Table2[[#This Row],[Year]],(Table2[[#This Row],[Quarter]]-1)*3+2,15)</f>
        <v>32462</v>
      </c>
      <c r="D157">
        <f>Table2[[#This Row],[Year]]+1/8+(Table2[[#This Row],[Quarter]]-1)/4</f>
        <v>1988.875</v>
      </c>
      <c r="E157">
        <f>Table2[[#This Row],[DecDate]]^2</f>
        <v>3955623.765625</v>
      </c>
      <c r="F157">
        <v>1123</v>
      </c>
      <c r="G157">
        <f>LN(Table2[[#This Row],[Expenditure]])</f>
        <v>7.0237589547384429</v>
      </c>
      <c r="H157">
        <f>$W$18+$W$19*Table2[[#This Row],[DecDate]]+$W$20*Table2[[#This Row],[DecDate2]]</f>
        <v>7.0443177714720946</v>
      </c>
      <c r="I157">
        <f>Table2[[#This Row],[Log Expenditure]]-Table2[[#This Row],[Quadratic Trend]]</f>
        <v>-2.0558816733651675E-2</v>
      </c>
      <c r="J157">
        <f t="shared" si="2"/>
        <v>-7.0093424239649595E-3</v>
      </c>
    </row>
    <row r="158" spans="1:10" x14ac:dyDescent="0.3">
      <c r="A158">
        <v>1989</v>
      </c>
      <c r="B158">
        <v>1</v>
      </c>
      <c r="C158" s="1">
        <f>DATE(Table2[[#This Row],[Year]],(Table2[[#This Row],[Quarter]]-1)*3+2,15)</f>
        <v>32554</v>
      </c>
      <c r="D158">
        <f>Table2[[#This Row],[Year]]+1/8+(Table2[[#This Row],[Quarter]]-1)/4</f>
        <v>1989.125</v>
      </c>
      <c r="E158">
        <f>Table2[[#This Row],[DecDate]]^2</f>
        <v>3956618.265625</v>
      </c>
      <c r="F158">
        <v>1148</v>
      </c>
      <c r="G158">
        <f>LN(Table2[[#This Row],[Expenditure]])</f>
        <v>7.0457765768795113</v>
      </c>
      <c r="H158">
        <f>$W$18+$W$19*Table2[[#This Row],[DecDate]]+$W$20*Table2[[#This Row],[DecDate2]]</f>
        <v>7.0461985546220944</v>
      </c>
      <c r="I158">
        <f>Table2[[#This Row],[Log Expenditure]]-Table2[[#This Row],[Quadratic Trend]]</f>
        <v>-4.2197774258312393E-4</v>
      </c>
      <c r="J158">
        <f t="shared" si="2"/>
        <v>-1.8931864690604882E-2</v>
      </c>
    </row>
    <row r="159" spans="1:10" x14ac:dyDescent="0.3">
      <c r="A159">
        <v>1989</v>
      </c>
      <c r="B159">
        <v>2</v>
      </c>
      <c r="C159" s="1">
        <f>DATE(Table2[[#This Row],[Year]],(Table2[[#This Row],[Quarter]]-1)*3+2,15)</f>
        <v>32643</v>
      </c>
      <c r="D159">
        <f>Table2[[#This Row],[Year]]+1/8+(Table2[[#This Row],[Quarter]]-1)/4</f>
        <v>1989.375</v>
      </c>
      <c r="E159">
        <f>Table2[[#This Row],[DecDate]]^2</f>
        <v>3957612.890625</v>
      </c>
      <c r="F159">
        <v>1162</v>
      </c>
      <c r="G159">
        <f>LN(Table2[[#This Row],[Expenditure]])</f>
        <v>7.0578979374118562</v>
      </c>
      <c r="H159">
        <f>$W$18+$W$19*Table2[[#This Row],[DecDate]]+$W$20*Table2[[#This Row],[DecDate2]]</f>
        <v>7.0480656216899433</v>
      </c>
      <c r="I159">
        <f>Table2[[#This Row],[Log Expenditure]]-Table2[[#This Row],[Quadratic Trend]]</f>
        <v>9.8323157219128987E-3</v>
      </c>
      <c r="J159">
        <f t="shared" si="2"/>
        <v>-1.2401092501072597E-2</v>
      </c>
    </row>
    <row r="160" spans="1:10" x14ac:dyDescent="0.3">
      <c r="A160">
        <v>1989</v>
      </c>
      <c r="B160">
        <v>3</v>
      </c>
      <c r="C160" s="1">
        <f>DATE(Table2[[#This Row],[Year]],(Table2[[#This Row],[Quarter]]-1)*3+2,15)</f>
        <v>32735</v>
      </c>
      <c r="D160">
        <f>Table2[[#This Row],[Year]]+1/8+(Table2[[#This Row],[Quarter]]-1)/4</f>
        <v>1989.625</v>
      </c>
      <c r="E160">
        <f>Table2[[#This Row],[DecDate]]^2</f>
        <v>3958607.640625</v>
      </c>
      <c r="F160">
        <v>1107</v>
      </c>
      <c r="G160">
        <f>LN(Table2[[#This Row],[Expenditure]])</f>
        <v>7.0094089327086371</v>
      </c>
      <c r="H160">
        <f>$W$18+$W$19*Table2[[#This Row],[DecDate]]+$W$20*Table2[[#This Row],[DecDate2]]</f>
        <v>7.0499189726755844</v>
      </c>
      <c r="I160">
        <f>Table2[[#This Row],[Log Expenditure]]-Table2[[#This Row],[Quadratic Trend]]</f>
        <v>-4.0510039966947353E-2</v>
      </c>
      <c r="J160">
        <f t="shared" si="2"/>
        <v>-4.5218543268825684E-3</v>
      </c>
    </row>
    <row r="161" spans="1:10" x14ac:dyDescent="0.3">
      <c r="A161">
        <v>1989</v>
      </c>
      <c r="B161">
        <v>4</v>
      </c>
      <c r="C161" s="1">
        <f>DATE(Table2[[#This Row],[Year]],(Table2[[#This Row],[Quarter]]-1)*3+2,15)</f>
        <v>32827</v>
      </c>
      <c r="D161">
        <f>Table2[[#This Row],[Year]]+1/8+(Table2[[#This Row],[Quarter]]-1)/4</f>
        <v>1989.875</v>
      </c>
      <c r="E161">
        <f>Table2[[#This Row],[DecDate]]^2</f>
        <v>3959602.515625</v>
      </c>
      <c r="F161">
        <v>1143</v>
      </c>
      <c r="G161">
        <f>LN(Table2[[#This Row],[Expenditure]])</f>
        <v>7.0414116637948103</v>
      </c>
      <c r="H161">
        <f>$W$18+$W$19*Table2[[#This Row],[DecDate]]+$W$20*Table2[[#This Row],[DecDate2]]</f>
        <v>7.051758607578904</v>
      </c>
      <c r="I161">
        <f>Table2[[#This Row],[Log Expenditure]]-Table2[[#This Row],[Quadratic Trend]]</f>
        <v>-1.0346943784093732E-2</v>
      </c>
      <c r="J161">
        <f t="shared" si="2"/>
        <v>-1.7121192905094063E-3</v>
      </c>
    </row>
    <row r="162" spans="1:10" x14ac:dyDescent="0.3">
      <c r="A162">
        <v>1990</v>
      </c>
      <c r="B162">
        <v>1</v>
      </c>
      <c r="C162" s="1">
        <f>DATE(Table2[[#This Row],[Year]],(Table2[[#This Row],[Quarter]]-1)*3+2,15)</f>
        <v>32919</v>
      </c>
      <c r="D162">
        <f>Table2[[#This Row],[Year]]+1/8+(Table2[[#This Row],[Quarter]]-1)/4</f>
        <v>1990.125</v>
      </c>
      <c r="E162">
        <f>Table2[[#This Row],[DecDate]]^2</f>
        <v>3960597.515625</v>
      </c>
      <c r="F162">
        <v>1179</v>
      </c>
      <c r="G162">
        <f>LN(Table2[[#This Row],[Expenditure]])</f>
        <v>7.0724219005373712</v>
      </c>
      <c r="H162">
        <f>$W$18+$W$19*Table2[[#This Row],[DecDate]]+$W$20*Table2[[#This Row],[DecDate2]]</f>
        <v>7.0535845264000727</v>
      </c>
      <c r="I162">
        <f>Table2[[#This Row],[Log Expenditure]]-Table2[[#This Row],[Quadratic Trend]]</f>
        <v>1.8837374137298468E-2</v>
      </c>
      <c r="J162">
        <f t="shared" si="2"/>
        <v>-1.4504533836734269E-2</v>
      </c>
    </row>
    <row r="163" spans="1:10" x14ac:dyDescent="0.3">
      <c r="A163">
        <v>1990</v>
      </c>
      <c r="B163">
        <v>2</v>
      </c>
      <c r="C163" s="1">
        <f>DATE(Table2[[#This Row],[Year]],(Table2[[#This Row],[Quarter]]-1)*3+2,15)</f>
        <v>33008</v>
      </c>
      <c r="D163">
        <f>Table2[[#This Row],[Year]]+1/8+(Table2[[#This Row],[Quarter]]-1)/4</f>
        <v>1990.375</v>
      </c>
      <c r="E163">
        <f>Table2[[#This Row],[DecDate]]^2</f>
        <v>3961592.640625</v>
      </c>
      <c r="F163">
        <v>1175</v>
      </c>
      <c r="G163">
        <f>LN(Table2[[#This Row],[Expenditure]])</f>
        <v>7.0690234265782594</v>
      </c>
      <c r="H163">
        <f>$W$18+$W$19*Table2[[#This Row],[DecDate]]+$W$20*Table2[[#This Row],[DecDate2]]</f>
        <v>7.0553967291389768</v>
      </c>
      <c r="I163">
        <f>Table2[[#This Row],[Log Expenditure]]-Table2[[#This Row],[Quadratic Trend]]</f>
        <v>1.3626697439282687E-2</v>
      </c>
      <c r="J163">
        <f t="shared" si="2"/>
        <v>-1.079300018008773E-2</v>
      </c>
    </row>
    <row r="164" spans="1:10" x14ac:dyDescent="0.3">
      <c r="A164">
        <v>1990</v>
      </c>
      <c r="B164">
        <v>3</v>
      </c>
      <c r="C164" s="1">
        <f>DATE(Table2[[#This Row],[Year]],(Table2[[#This Row],[Quarter]]-1)*3+2,15)</f>
        <v>33100</v>
      </c>
      <c r="D164">
        <f>Table2[[#This Row],[Year]]+1/8+(Table2[[#This Row],[Quarter]]-1)/4</f>
        <v>1990.625</v>
      </c>
      <c r="E164">
        <f>Table2[[#This Row],[DecDate]]^2</f>
        <v>3962587.890625</v>
      </c>
      <c r="F164">
        <v>1100</v>
      </c>
      <c r="G164">
        <f>LN(Table2[[#This Row],[Expenditure]])</f>
        <v>7.0030654587864616</v>
      </c>
      <c r="H164">
        <f>$W$18+$W$19*Table2[[#This Row],[DecDate]]+$W$20*Table2[[#This Row],[DecDate2]]</f>
        <v>7.057195215795673</v>
      </c>
      <c r="I164">
        <f>Table2[[#This Row],[Log Expenditure]]-Table2[[#This Row],[Quadratic Trend]]</f>
        <v>-5.412975700921141E-2</v>
      </c>
      <c r="J164">
        <f t="shared" si="2"/>
        <v>-7.5804255683090457E-3</v>
      </c>
    </row>
    <row r="165" spans="1:10" x14ac:dyDescent="0.3">
      <c r="A165">
        <v>1990</v>
      </c>
      <c r="B165">
        <v>4</v>
      </c>
      <c r="C165" s="1">
        <f>DATE(Table2[[#This Row],[Year]],(Table2[[#This Row],[Quarter]]-1)*3+2,15)</f>
        <v>33192</v>
      </c>
      <c r="D165">
        <f>Table2[[#This Row],[Year]]+1/8+(Table2[[#This Row],[Quarter]]-1)/4</f>
        <v>1990.875</v>
      </c>
      <c r="E165">
        <f>Table2[[#This Row],[DecDate]]^2</f>
        <v>3963583.265625</v>
      </c>
      <c r="F165">
        <v>1138</v>
      </c>
      <c r="G165">
        <f>LN(Table2[[#This Row],[Expenditure]])</f>
        <v>7.0370276146862762</v>
      </c>
      <c r="H165">
        <f>$W$18+$W$19*Table2[[#This Row],[DecDate]]+$W$20*Table2[[#This Row],[DecDate2]]</f>
        <v>7.0589799863699909</v>
      </c>
      <c r="I165">
        <f>Table2[[#This Row],[Log Expenditure]]-Table2[[#This Row],[Quadratic Trend]]</f>
        <v>-2.1952371683714667E-2</v>
      </c>
      <c r="J165">
        <f t="shared" si="2"/>
        <v>-7.0042918306089776E-3</v>
      </c>
    </row>
    <row r="166" spans="1:10" x14ac:dyDescent="0.3">
      <c r="A166">
        <v>1991</v>
      </c>
      <c r="B166">
        <v>1</v>
      </c>
      <c r="C166" s="1">
        <f>DATE(Table2[[#This Row],[Year]],(Table2[[#This Row],[Quarter]]-1)*3+2,15)</f>
        <v>33284</v>
      </c>
      <c r="D166">
        <f>Table2[[#This Row],[Year]]+1/8+(Table2[[#This Row],[Quarter]]-1)/4</f>
        <v>1991.125</v>
      </c>
      <c r="E166">
        <f>Table2[[#This Row],[DecDate]]^2</f>
        <v>3964578.765625</v>
      </c>
      <c r="F166">
        <v>1172</v>
      </c>
      <c r="G166">
        <f>LN(Table2[[#This Row],[Expenditure]])</f>
        <v>7.0664669701369576</v>
      </c>
      <c r="H166">
        <f>$W$18+$W$19*Table2[[#This Row],[DecDate]]+$W$20*Table2[[#This Row],[DecDate2]]</f>
        <v>7.0607510408621579</v>
      </c>
      <c r="I166">
        <f>Table2[[#This Row],[Log Expenditure]]-Table2[[#This Row],[Quadratic Trend]]</f>
        <v>5.7159292747996915E-3</v>
      </c>
      <c r="J166">
        <f t="shared" si="2"/>
        <v>-1.7294669898512006E-2</v>
      </c>
    </row>
    <row r="167" spans="1:10" x14ac:dyDescent="0.3">
      <c r="A167">
        <v>1991</v>
      </c>
      <c r="B167">
        <v>2</v>
      </c>
      <c r="C167" s="1">
        <f>DATE(Table2[[#This Row],[Year]],(Table2[[#This Row],[Quarter]]-1)*3+2,15)</f>
        <v>33373</v>
      </c>
      <c r="D167">
        <f>Table2[[#This Row],[Year]]+1/8+(Table2[[#This Row],[Quarter]]-1)/4</f>
        <v>1991.375</v>
      </c>
      <c r="E167">
        <f>Table2[[#This Row],[DecDate]]^2</f>
        <v>3965574.390625</v>
      </c>
      <c r="F167">
        <v>1193</v>
      </c>
      <c r="G167">
        <f>LN(Table2[[#This Row],[Expenditure]])</f>
        <v>7.0842264220979159</v>
      </c>
      <c r="H167">
        <f>$W$18+$W$19*Table2[[#This Row],[DecDate]]+$W$20*Table2[[#This Row],[DecDate2]]</f>
        <v>7.0625083792721171</v>
      </c>
      <c r="I167">
        <f>Table2[[#This Row],[Log Expenditure]]-Table2[[#This Row],[Quadratic Trend]]</f>
        <v>2.1718042825798811E-2</v>
      </c>
      <c r="J167">
        <f t="shared" si="2"/>
        <v>-9.2939754745392737E-3</v>
      </c>
    </row>
    <row r="168" spans="1:10" x14ac:dyDescent="0.3">
      <c r="A168">
        <v>1991</v>
      </c>
      <c r="B168">
        <v>3</v>
      </c>
      <c r="C168" s="1">
        <f>DATE(Table2[[#This Row],[Year]],(Table2[[#This Row],[Quarter]]-1)*3+2,15)</f>
        <v>33465</v>
      </c>
      <c r="D168">
        <f>Table2[[#This Row],[Year]]+1/8+(Table2[[#This Row],[Quarter]]-1)/4</f>
        <v>1991.625</v>
      </c>
      <c r="E168">
        <f>Table2[[#This Row],[DecDate]]^2</f>
        <v>3966570.140625</v>
      </c>
      <c r="F168">
        <v>1126</v>
      </c>
      <c r="G168">
        <f>LN(Table2[[#This Row],[Expenditure]])</f>
        <v>7.026426808699636</v>
      </c>
      <c r="H168">
        <f>$W$18+$W$19*Table2[[#This Row],[DecDate]]+$W$20*Table2[[#This Row],[DecDate2]]</f>
        <v>7.0642520015998684</v>
      </c>
      <c r="I168">
        <f>Table2[[#This Row],[Log Expenditure]]-Table2[[#This Row],[Quadratic Trend]]</f>
        <v>-3.7825192900232452E-2</v>
      </c>
      <c r="J168">
        <f t="shared" si="2"/>
        <v>-2.1014035183741344E-3</v>
      </c>
    </row>
    <row r="169" spans="1:10" x14ac:dyDescent="0.3">
      <c r="A169">
        <v>1991</v>
      </c>
      <c r="B169">
        <v>4</v>
      </c>
      <c r="C169" s="1">
        <f>DATE(Table2[[#This Row],[Year]],(Table2[[#This Row],[Quarter]]-1)*3+2,15)</f>
        <v>33557</v>
      </c>
      <c r="D169">
        <f>Table2[[#This Row],[Year]]+1/8+(Table2[[#This Row],[Quarter]]-1)/4</f>
        <v>1991.875</v>
      </c>
      <c r="E169">
        <f>Table2[[#This Row],[DecDate]]^2</f>
        <v>3967566.015625</v>
      </c>
      <c r="F169">
        <v>1155</v>
      </c>
      <c r="G169">
        <f>LN(Table2[[#This Row],[Expenditure]])</f>
        <v>7.0518556229558937</v>
      </c>
      <c r="H169">
        <f>$W$18+$W$19*Table2[[#This Row],[DecDate]]+$W$20*Table2[[#This Row],[DecDate2]]</f>
        <v>7.0659819078452415</v>
      </c>
      <c r="I169">
        <f>Table2[[#This Row],[Log Expenditure]]-Table2[[#This Row],[Quadratic Trend]]</f>
        <v>-1.4126284889347751E-2</v>
      </c>
      <c r="J169">
        <f t="shared" si="2"/>
        <v>8.9066336398868629E-4</v>
      </c>
    </row>
    <row r="170" spans="1:10" x14ac:dyDescent="0.3">
      <c r="A170">
        <v>1992</v>
      </c>
      <c r="B170">
        <v>1</v>
      </c>
      <c r="C170" s="1">
        <f>DATE(Table2[[#This Row],[Year]],(Table2[[#This Row],[Quarter]]-1)*3+2,15)</f>
        <v>33649</v>
      </c>
      <c r="D170">
        <f>Table2[[#This Row],[Year]]+1/8+(Table2[[#This Row],[Quarter]]-1)/4</f>
        <v>1992.125</v>
      </c>
      <c r="E170">
        <f>Table2[[#This Row],[DecDate]]^2</f>
        <v>3968562.015625</v>
      </c>
      <c r="F170">
        <v>1190</v>
      </c>
      <c r="G170">
        <f>LN(Table2[[#This Row],[Expenditure]])</f>
        <v>7.0817085861055746</v>
      </c>
      <c r="H170">
        <f>$W$18+$W$19*Table2[[#This Row],[DecDate]]+$W$20*Table2[[#This Row],[DecDate2]]</f>
        <v>7.0676980980084636</v>
      </c>
      <c r="I170">
        <f>Table2[[#This Row],[Log Expenditure]]-Table2[[#This Row],[Quadratic Trend]]</f>
        <v>1.4010488097111029E-2</v>
      </c>
      <c r="J170">
        <f t="shared" si="2"/>
        <v>-1.1145959013192552E-2</v>
      </c>
    </row>
    <row r="171" spans="1:10" x14ac:dyDescent="0.3">
      <c r="A171">
        <v>1992</v>
      </c>
      <c r="B171">
        <v>2</v>
      </c>
      <c r="C171" s="1">
        <f>DATE(Table2[[#This Row],[Year]],(Table2[[#This Row],[Quarter]]-1)*3+2,15)</f>
        <v>33739</v>
      </c>
      <c r="D171">
        <f>Table2[[#This Row],[Year]]+1/8+(Table2[[#This Row],[Quarter]]-1)/4</f>
        <v>1992.375</v>
      </c>
      <c r="E171">
        <f>Table2[[#This Row],[DecDate]]^2</f>
        <v>3969558.140625</v>
      </c>
      <c r="F171">
        <v>1200</v>
      </c>
      <c r="G171">
        <f>LN(Table2[[#This Row],[Expenditure]])</f>
        <v>7.0900768357760917</v>
      </c>
      <c r="H171">
        <f>$W$18+$W$19*Table2[[#This Row],[DecDate]]+$W$20*Table2[[#This Row],[DecDate2]]</f>
        <v>7.0694005720894779</v>
      </c>
      <c r="I171">
        <f>Table2[[#This Row],[Log Expenditure]]-Table2[[#This Row],[Quadratic Trend]]</f>
        <v>2.0676263686613794E-2</v>
      </c>
      <c r="J171">
        <f t="shared" si="2"/>
        <v>-5.8669214519897041E-3</v>
      </c>
    </row>
    <row r="172" spans="1:10" x14ac:dyDescent="0.3">
      <c r="A172">
        <v>1992</v>
      </c>
      <c r="B172">
        <v>3</v>
      </c>
      <c r="C172" s="1">
        <f>DATE(Table2[[#This Row],[Year]],(Table2[[#This Row],[Quarter]]-1)*3+2,15)</f>
        <v>33831</v>
      </c>
      <c r="D172">
        <f>Table2[[#This Row],[Year]]+1/8+(Table2[[#This Row],[Quarter]]-1)/4</f>
        <v>1992.625</v>
      </c>
      <c r="E172">
        <f>Table2[[#This Row],[DecDate]]^2</f>
        <v>3970554.390625</v>
      </c>
      <c r="F172">
        <v>1133</v>
      </c>
      <c r="G172">
        <f>LN(Table2[[#This Row],[Expenditure]])</f>
        <v>7.0326242610280065</v>
      </c>
      <c r="H172">
        <f>$W$18+$W$19*Table2[[#This Row],[DecDate]]+$W$20*Table2[[#This Row],[DecDate2]]</f>
        <v>7.0710893300881139</v>
      </c>
      <c r="I172">
        <f>Table2[[#This Row],[Log Expenditure]]-Table2[[#This Row],[Quadratic Trend]]</f>
        <v>-3.8465069060107382E-2</v>
      </c>
      <c r="J172">
        <f t="shared" si="2"/>
        <v>-1.0815196223235902E-3</v>
      </c>
    </row>
    <row r="173" spans="1:10" x14ac:dyDescent="0.3">
      <c r="A173">
        <v>1992</v>
      </c>
      <c r="B173">
        <v>4</v>
      </c>
      <c r="C173" s="1">
        <f>DATE(Table2[[#This Row],[Year]],(Table2[[#This Row],[Quarter]]-1)*3+2,15)</f>
        <v>33923</v>
      </c>
      <c r="D173">
        <f>Table2[[#This Row],[Year]]+1/8+(Table2[[#This Row],[Quarter]]-1)/4</f>
        <v>1992.875</v>
      </c>
      <c r="E173">
        <f>Table2[[#This Row],[DecDate]]^2</f>
        <v>3971550.765625</v>
      </c>
      <c r="F173">
        <v>1166</v>
      </c>
      <c r="G173">
        <f>LN(Table2[[#This Row],[Expenditure]])</f>
        <v>7.0613343669104376</v>
      </c>
      <c r="H173">
        <f>$W$18+$W$19*Table2[[#This Row],[DecDate]]+$W$20*Table2[[#This Row],[DecDate2]]</f>
        <v>7.0727643720046558</v>
      </c>
      <c r="I173">
        <f>Table2[[#This Row],[Log Expenditure]]-Table2[[#This Row],[Quadratic Trend]]</f>
        <v>-1.143000509421821E-2</v>
      </c>
      <c r="J173">
        <f t="shared" si="2"/>
        <v>-2.5130957499523986E-4</v>
      </c>
    </row>
    <row r="174" spans="1:10" x14ac:dyDescent="0.3">
      <c r="A174">
        <v>1993</v>
      </c>
      <c r="B174">
        <v>1</v>
      </c>
      <c r="C174" s="1">
        <f>DATE(Table2[[#This Row],[Year]],(Table2[[#This Row],[Quarter]]-1)*3+2,15)</f>
        <v>34015</v>
      </c>
      <c r="D174">
        <f>Table2[[#This Row],[Year]]+1/8+(Table2[[#This Row],[Quarter]]-1)/4</f>
        <v>1993.125</v>
      </c>
      <c r="E174">
        <f>Table2[[#This Row],[DecDate]]^2</f>
        <v>3972547.265625</v>
      </c>
      <c r="F174">
        <v>1193</v>
      </c>
      <c r="G174">
        <f>LN(Table2[[#This Row],[Expenditure]])</f>
        <v>7.0842264220979159</v>
      </c>
      <c r="H174">
        <f>$W$18+$W$19*Table2[[#This Row],[DecDate]]+$W$20*Table2[[#This Row],[DecDate2]]</f>
        <v>7.074425697838933</v>
      </c>
      <c r="I174">
        <f>Table2[[#This Row],[Log Expenditure]]-Table2[[#This Row],[Quadratic Trend]]</f>
        <v>9.8007242589828181E-3</v>
      </c>
      <c r="J174">
        <f t="shared" si="2"/>
        <v>-1.3756507341232549E-2</v>
      </c>
    </row>
    <row r="175" spans="1:10" x14ac:dyDescent="0.3">
      <c r="A175">
        <v>1993</v>
      </c>
      <c r="B175">
        <v>2</v>
      </c>
      <c r="C175" s="1">
        <f>DATE(Table2[[#This Row],[Year]],(Table2[[#This Row],[Quarter]]-1)*3+2,15)</f>
        <v>34104</v>
      </c>
      <c r="D175">
        <f>Table2[[#This Row],[Year]]+1/8+(Table2[[#This Row],[Quarter]]-1)/4</f>
        <v>1993.375</v>
      </c>
      <c r="E175">
        <f>Table2[[#This Row],[DecDate]]^2</f>
        <v>3973543.890625</v>
      </c>
      <c r="F175">
        <v>1205</v>
      </c>
      <c r="G175">
        <f>LN(Table2[[#This Row],[Expenditure]])</f>
        <v>7.0942348459247553</v>
      </c>
      <c r="H175">
        <f>$W$18+$W$19*Table2[[#This Row],[DecDate]]+$W$20*Table2[[#This Row],[DecDate2]]</f>
        <v>7.0760733075910025</v>
      </c>
      <c r="I175">
        <f>Table2[[#This Row],[Log Expenditure]]-Table2[[#This Row],[Quadratic Trend]]</f>
        <v>1.816153833375278E-2</v>
      </c>
      <c r="J175">
        <f t="shared" si="2"/>
        <v>-1.1384759452393211E-2</v>
      </c>
    </row>
    <row r="176" spans="1:10" x14ac:dyDescent="0.3">
      <c r="A176">
        <v>1993</v>
      </c>
      <c r="B176">
        <v>3</v>
      </c>
      <c r="C176" s="1">
        <f>DATE(Table2[[#This Row],[Year]],(Table2[[#This Row],[Quarter]]-1)*3+2,15)</f>
        <v>34196</v>
      </c>
      <c r="D176">
        <f>Table2[[#This Row],[Year]]+1/8+(Table2[[#This Row],[Quarter]]-1)/4</f>
        <v>1993.625</v>
      </c>
      <c r="E176">
        <f>Table2[[#This Row],[DecDate]]^2</f>
        <v>3974540.640625</v>
      </c>
      <c r="F176">
        <v>1131</v>
      </c>
      <c r="G176">
        <f>LN(Table2[[#This Row],[Expenditure]])</f>
        <v>7.0308574761161209</v>
      </c>
      <c r="H176">
        <f>$W$18+$W$19*Table2[[#This Row],[DecDate]]+$W$20*Table2[[#This Row],[DecDate2]]</f>
        <v>7.0777072012606936</v>
      </c>
      <c r="I176">
        <f>Table2[[#This Row],[Log Expenditure]]-Table2[[#This Row],[Quadratic Trend]]</f>
        <v>-4.6849725144572751E-2</v>
      </c>
      <c r="J176">
        <f t="shared" si="2"/>
        <v>-1.0292886911054034E-2</v>
      </c>
    </row>
    <row r="177" spans="1:10" x14ac:dyDescent="0.3">
      <c r="A177">
        <v>1993</v>
      </c>
      <c r="B177">
        <v>4</v>
      </c>
      <c r="C177" s="1">
        <f>DATE(Table2[[#This Row],[Year]],(Table2[[#This Row],[Quarter]]-1)*3+2,15)</f>
        <v>34288</v>
      </c>
      <c r="D177">
        <f>Table2[[#This Row],[Year]]+1/8+(Table2[[#This Row],[Quarter]]-1)/4</f>
        <v>1993.875</v>
      </c>
      <c r="E177">
        <f>Table2[[#This Row],[DecDate]]^2</f>
        <v>3975537.515625</v>
      </c>
      <c r="F177">
        <v>1156</v>
      </c>
      <c r="G177">
        <f>LN(Table2[[#This Row],[Expenditure]])</f>
        <v>7.0527210492323231</v>
      </c>
      <c r="H177">
        <f>$W$18+$W$19*Table2[[#This Row],[DecDate]]+$W$20*Table2[[#This Row],[DecDate2]]</f>
        <v>7.0793273788482338</v>
      </c>
      <c r="I177">
        <f>Table2[[#This Row],[Log Expenditure]]-Table2[[#This Row],[Quadratic Trend]]</f>
        <v>-2.6606329615910695E-2</v>
      </c>
      <c r="J177">
        <f t="shared" si="2"/>
        <v>-1.2416631697062464E-2</v>
      </c>
    </row>
    <row r="178" spans="1:10" x14ac:dyDescent="0.3">
      <c r="A178">
        <v>1994</v>
      </c>
      <c r="B178">
        <v>1</v>
      </c>
      <c r="C178" s="1">
        <f>DATE(Table2[[#This Row],[Year]],(Table2[[#This Row],[Quarter]]-1)*3+2,15)</f>
        <v>34380</v>
      </c>
      <c r="D178">
        <f>Table2[[#This Row],[Year]]+1/8+(Table2[[#This Row],[Quarter]]-1)/4</f>
        <v>1994.125</v>
      </c>
      <c r="E178">
        <f>Table2[[#This Row],[DecDate]]^2</f>
        <v>3976534.515625</v>
      </c>
      <c r="F178">
        <v>1182</v>
      </c>
      <c r="G178">
        <f>LN(Table2[[#This Row],[Expenditure]])</f>
        <v>7.0749631979660439</v>
      </c>
      <c r="H178">
        <f>$W$18+$W$19*Table2[[#This Row],[DecDate]]+$W$20*Table2[[#This Row],[DecDate2]]</f>
        <v>7.0809338403535662</v>
      </c>
      <c r="I178">
        <f>Table2[[#This Row],[Log Expenditure]]-Table2[[#This Row],[Quadratic Trend]]</f>
        <v>-5.970642387522318E-3</v>
      </c>
      <c r="J178">
        <f t="shared" si="2"/>
        <v>-2.9368833799037829E-2</v>
      </c>
    </row>
    <row r="179" spans="1:10" x14ac:dyDescent="0.3">
      <c r="A179">
        <v>1994</v>
      </c>
      <c r="B179">
        <v>2</v>
      </c>
      <c r="C179" s="1">
        <f>DATE(Table2[[#This Row],[Year]],(Table2[[#This Row],[Quarter]]-1)*3+2,15)</f>
        <v>34469</v>
      </c>
      <c r="D179">
        <f>Table2[[#This Row],[Year]]+1/8+(Table2[[#This Row],[Quarter]]-1)/4</f>
        <v>1994.375</v>
      </c>
      <c r="E179">
        <f>Table2[[#This Row],[DecDate]]^2</f>
        <v>3977531.640625</v>
      </c>
      <c r="F179">
        <v>1190</v>
      </c>
      <c r="G179">
        <f>LN(Table2[[#This Row],[Expenditure]])</f>
        <v>7.0817085861055746</v>
      </c>
      <c r="H179">
        <f>$W$18+$W$19*Table2[[#This Row],[DecDate]]+$W$20*Table2[[#This Row],[DecDate2]]</f>
        <v>7.082526585776634</v>
      </c>
      <c r="I179">
        <f>Table2[[#This Row],[Log Expenditure]]-Table2[[#This Row],[Quadratic Trend]]</f>
        <v>-8.1799967105933291E-4</v>
      </c>
      <c r="J179">
        <f t="shared" si="2"/>
        <v>-2.5209548787041847E-2</v>
      </c>
    </row>
    <row r="180" spans="1:10" x14ac:dyDescent="0.3">
      <c r="A180">
        <v>1994</v>
      </c>
      <c r="B180">
        <v>3</v>
      </c>
      <c r="C180" s="1">
        <f>DATE(Table2[[#This Row],[Year]],(Table2[[#This Row],[Quarter]]-1)*3+2,15)</f>
        <v>34561</v>
      </c>
      <c r="D180">
        <f>Table2[[#This Row],[Year]]+1/8+(Table2[[#This Row],[Quarter]]-1)/4</f>
        <v>1994.625</v>
      </c>
      <c r="E180">
        <f>Table2[[#This Row],[DecDate]]^2</f>
        <v>3978528.890625</v>
      </c>
      <c r="F180">
        <v>1116</v>
      </c>
      <c r="G180">
        <f>LN(Table2[[#This Row],[Expenditure]])</f>
        <v>7.0175061429412562</v>
      </c>
      <c r="H180">
        <f>$W$18+$W$19*Table2[[#This Row],[DecDate]]+$W$20*Table2[[#This Row],[DecDate2]]</f>
        <v>7.0841056151173802</v>
      </c>
      <c r="I180">
        <f>Table2[[#This Row],[Log Expenditure]]-Table2[[#This Row],[Quadratic Trend]]</f>
        <v>-6.6599472176124053E-2</v>
      </c>
      <c r="J180">
        <f t="shared" si="2"/>
        <v>-2.0823074103272353E-2</v>
      </c>
    </row>
    <row r="181" spans="1:10" x14ac:dyDescent="0.3">
      <c r="A181">
        <v>1994</v>
      </c>
      <c r="B181">
        <v>4</v>
      </c>
      <c r="C181" s="1">
        <f>DATE(Table2[[#This Row],[Year]],(Table2[[#This Row],[Quarter]]-1)*3+2,15)</f>
        <v>34653</v>
      </c>
      <c r="D181">
        <f>Table2[[#This Row],[Year]]+1/8+(Table2[[#This Row],[Quarter]]-1)/4</f>
        <v>1994.875</v>
      </c>
      <c r="E181">
        <f>Table2[[#This Row],[DecDate]]^2</f>
        <v>3979526.265625</v>
      </c>
      <c r="F181">
        <v>1164</v>
      </c>
      <c r="G181">
        <f>LN(Table2[[#This Row],[Expenditure]])</f>
        <v>7.0596176282913827</v>
      </c>
      <c r="H181">
        <f>$W$18+$W$19*Table2[[#This Row],[DecDate]]+$W$20*Table2[[#This Row],[DecDate2]]</f>
        <v>7.0856709283759756</v>
      </c>
      <c r="I181">
        <f>Table2[[#This Row],[Log Expenditure]]-Table2[[#This Row],[Quadratic Trend]]</f>
        <v>-2.6053300084592834E-2</v>
      </c>
      <c r="J181">
        <f t="shared" si="2"/>
        <v>-1.7540678244423978E-2</v>
      </c>
    </row>
    <row r="182" spans="1:10" x14ac:dyDescent="0.3">
      <c r="A182">
        <v>1995</v>
      </c>
      <c r="B182">
        <v>1</v>
      </c>
      <c r="C182" s="1">
        <f>DATE(Table2[[#This Row],[Year]],(Table2[[#This Row],[Quarter]]-1)*3+2,15)</f>
        <v>34745</v>
      </c>
      <c r="D182">
        <f>Table2[[#This Row],[Year]]+1/8+(Table2[[#This Row],[Quarter]]-1)/4</f>
        <v>1995.125</v>
      </c>
      <c r="E182">
        <f>Table2[[#This Row],[DecDate]]^2</f>
        <v>3980523.765625</v>
      </c>
      <c r="F182">
        <v>1191</v>
      </c>
      <c r="G182">
        <f>LN(Table2[[#This Row],[Expenditure]])</f>
        <v>7.0825485693552999</v>
      </c>
      <c r="H182">
        <f>$W$18+$W$19*Table2[[#This Row],[DecDate]]+$W$20*Table2[[#This Row],[DecDate2]]</f>
        <v>7.0872225255523631</v>
      </c>
      <c r="I182">
        <f>Table2[[#This Row],[Log Expenditure]]-Table2[[#This Row],[Quadratic Trend]]</f>
        <v>-4.6739561970632337E-3</v>
      </c>
      <c r="J182">
        <f t="shared" si="2"/>
        <v>-2.4026596302280011E-2</v>
      </c>
    </row>
    <row r="183" spans="1:10" x14ac:dyDescent="0.3">
      <c r="A183">
        <v>1995</v>
      </c>
      <c r="B183">
        <v>2</v>
      </c>
      <c r="C183" s="1">
        <f>DATE(Table2[[#This Row],[Year]],(Table2[[#This Row],[Quarter]]-1)*3+2,15)</f>
        <v>34834</v>
      </c>
      <c r="D183">
        <f>Table2[[#This Row],[Year]]+1/8+(Table2[[#This Row],[Quarter]]-1)/4</f>
        <v>1995.375</v>
      </c>
      <c r="E183">
        <f>Table2[[#This Row],[DecDate]]^2</f>
        <v>3981521.390625</v>
      </c>
      <c r="F183">
        <v>1211</v>
      </c>
      <c r="G183">
        <f>LN(Table2[[#This Row],[Expenditure]])</f>
        <v>7.0992017435530919</v>
      </c>
      <c r="H183">
        <f>$W$18+$W$19*Table2[[#This Row],[DecDate]]+$W$20*Table2[[#This Row],[DecDate2]]</f>
        <v>7.0887604066463723</v>
      </c>
      <c r="I183">
        <f>Table2[[#This Row],[Log Expenditure]]-Table2[[#This Row],[Quadratic Trend]]</f>
        <v>1.0441336906719556E-2</v>
      </c>
      <c r="J183">
        <f t="shared" si="2"/>
        <v>-1.2052847194121873E-2</v>
      </c>
    </row>
    <row r="184" spans="1:10" x14ac:dyDescent="0.3">
      <c r="A184">
        <v>1995</v>
      </c>
      <c r="B184">
        <v>3</v>
      </c>
      <c r="C184" s="1">
        <f>DATE(Table2[[#This Row],[Year]],(Table2[[#This Row],[Quarter]]-1)*3+2,15)</f>
        <v>34926</v>
      </c>
      <c r="D184">
        <f>Table2[[#This Row],[Year]]+1/8+(Table2[[#This Row],[Quarter]]-1)/4</f>
        <v>1995.625</v>
      </c>
      <c r="E184">
        <f>Table2[[#This Row],[DecDate]]^2</f>
        <v>3982519.140625</v>
      </c>
      <c r="F184">
        <v>1161</v>
      </c>
      <c r="G184">
        <f>LN(Table2[[#This Row],[Expenditure]])</f>
        <v>7.0570369816978911</v>
      </c>
      <c r="H184">
        <f>$W$18+$W$19*Table2[[#This Row],[DecDate]]+$W$20*Table2[[#This Row],[DecDate2]]</f>
        <v>7.0902845716582306</v>
      </c>
      <c r="I184">
        <f>Table2[[#This Row],[Log Expenditure]]-Table2[[#This Row],[Quadratic Trend]]</f>
        <v>-3.3247589960339496E-2</v>
      </c>
      <c r="J184">
        <f t="shared" si="2"/>
        <v>-4.5074482102995363E-3</v>
      </c>
    </row>
    <row r="185" spans="1:10" x14ac:dyDescent="0.3">
      <c r="A185">
        <v>1995</v>
      </c>
      <c r="B185">
        <v>4</v>
      </c>
      <c r="C185" s="1">
        <f>DATE(Table2[[#This Row],[Year]],(Table2[[#This Row],[Quarter]]-1)*3+2,15)</f>
        <v>35018</v>
      </c>
      <c r="D185">
        <f>Table2[[#This Row],[Year]]+1/8+(Table2[[#This Row],[Quarter]]-1)/4</f>
        <v>1995.875</v>
      </c>
      <c r="E185">
        <f>Table2[[#This Row],[DecDate]]^2</f>
        <v>3983517.015625</v>
      </c>
      <c r="F185">
        <v>1194</v>
      </c>
      <c r="G185">
        <f>LN(Table2[[#This Row],[Expenditure]])</f>
        <v>7.0850642939525477</v>
      </c>
      <c r="H185">
        <f>$W$18+$W$19*Table2[[#This Row],[DecDate]]+$W$20*Table2[[#This Row],[DecDate2]]</f>
        <v>7.091795020587881</v>
      </c>
      <c r="I185">
        <f>Table2[[#This Row],[Log Expenditure]]-Table2[[#This Row],[Quadratic Trend]]</f>
        <v>-6.7307266353333617E-3</v>
      </c>
      <c r="J185">
        <f t="shared" si="2"/>
        <v>1.7228796379551881E-3</v>
      </c>
    </row>
    <row r="186" spans="1:10" x14ac:dyDescent="0.3">
      <c r="A186">
        <v>1996</v>
      </c>
      <c r="B186">
        <v>1</v>
      </c>
      <c r="C186" s="1">
        <f>DATE(Table2[[#This Row],[Year]],(Table2[[#This Row],[Quarter]]-1)*3+2,15)</f>
        <v>35110</v>
      </c>
      <c r="D186">
        <f>Table2[[#This Row],[Year]]+1/8+(Table2[[#This Row],[Quarter]]-1)/4</f>
        <v>1996.125</v>
      </c>
      <c r="E186">
        <f>Table2[[#This Row],[DecDate]]^2</f>
        <v>3984515.015625</v>
      </c>
      <c r="F186">
        <v>1218</v>
      </c>
      <c r="G186">
        <f>LN(Table2[[#This Row],[Expenditure]])</f>
        <v>7.1049654482698426</v>
      </c>
      <c r="H186">
        <f>$W$18+$W$19*Table2[[#This Row],[DecDate]]+$W$20*Table2[[#This Row],[DecDate2]]</f>
        <v>7.0932917534353237</v>
      </c>
      <c r="I186">
        <f>Table2[[#This Row],[Log Expenditure]]-Table2[[#This Row],[Quadratic Trend]]</f>
        <v>1.1673694834518855E-2</v>
      </c>
      <c r="J186">
        <f t="shared" si="2"/>
        <v>-7.8625714163161227E-3</v>
      </c>
    </row>
    <row r="187" spans="1:10" x14ac:dyDescent="0.3">
      <c r="A187">
        <v>1996</v>
      </c>
      <c r="B187">
        <v>2</v>
      </c>
      <c r="C187" s="1">
        <f>DATE(Table2[[#This Row],[Year]],(Table2[[#This Row],[Quarter]]-1)*3+2,15)</f>
        <v>35200</v>
      </c>
      <c r="D187">
        <f>Table2[[#This Row],[Year]]+1/8+(Table2[[#This Row],[Quarter]]-1)/4</f>
        <v>1996.375</v>
      </c>
      <c r="E187">
        <f>Table2[[#This Row],[DecDate]]^2</f>
        <v>3985513.140625</v>
      </c>
      <c r="F187">
        <v>1238</v>
      </c>
      <c r="G187">
        <f>LN(Table2[[#This Row],[Expenditure]])</f>
        <v>7.1212524532445416</v>
      </c>
      <c r="H187">
        <f>$W$18+$W$19*Table2[[#This Row],[DecDate]]+$W$20*Table2[[#This Row],[DecDate2]]</f>
        <v>7.0947747702003312</v>
      </c>
      <c r="I187">
        <f>Table2[[#This Row],[Log Expenditure]]-Table2[[#This Row],[Quadratic Trend]]</f>
        <v>2.6477683044210387E-2</v>
      </c>
      <c r="J187">
        <f t="shared" si="2"/>
        <v>-2.9043535155354404E-3</v>
      </c>
    </row>
    <row r="188" spans="1:10" x14ac:dyDescent="0.3">
      <c r="A188">
        <v>1996</v>
      </c>
      <c r="B188">
        <v>3</v>
      </c>
      <c r="C188" s="1">
        <f>DATE(Table2[[#This Row],[Year]],(Table2[[#This Row],[Quarter]]-1)*3+2,15)</f>
        <v>35292</v>
      </c>
      <c r="D188">
        <f>Table2[[#This Row],[Year]]+1/8+(Table2[[#This Row],[Quarter]]-1)/4</f>
        <v>1996.625</v>
      </c>
      <c r="E188">
        <f>Table2[[#This Row],[DecDate]]^2</f>
        <v>3986511.390625</v>
      </c>
      <c r="F188">
        <v>1163</v>
      </c>
      <c r="G188">
        <f>LN(Table2[[#This Row],[Expenditure]])</f>
        <v>7.0587581525186645</v>
      </c>
      <c r="H188">
        <f>$W$18+$W$19*Table2[[#This Row],[DecDate]]+$W$20*Table2[[#This Row],[DecDate2]]</f>
        <v>7.0962440708833014</v>
      </c>
      <c r="I188">
        <f>Table2[[#This Row],[Log Expenditure]]-Table2[[#This Row],[Quadratic Trend]]</f>
        <v>-3.7485918364636994E-2</v>
      </c>
      <c r="J188">
        <f t="shared" si="2"/>
        <v>7.5271160680703277E-4</v>
      </c>
    </row>
    <row r="189" spans="1:10" x14ac:dyDescent="0.3">
      <c r="A189">
        <v>1996</v>
      </c>
      <c r="B189">
        <v>4</v>
      </c>
      <c r="C189" s="1">
        <f>DATE(Table2[[#This Row],[Year]],(Table2[[#This Row],[Quarter]]-1)*3+2,15)</f>
        <v>35384</v>
      </c>
      <c r="D189">
        <f>Table2[[#This Row],[Year]]+1/8+(Table2[[#This Row],[Quarter]]-1)/4</f>
        <v>1996.875</v>
      </c>
      <c r="E189">
        <f>Table2[[#This Row],[DecDate]]^2</f>
        <v>3987509.765625</v>
      </c>
      <c r="F189">
        <v>1199</v>
      </c>
      <c r="G189">
        <f>LN(Table2[[#This Row],[Expenditure]])</f>
        <v>7.0892431550275141</v>
      </c>
      <c r="H189">
        <f>$W$18+$W$19*Table2[[#This Row],[DecDate]]+$W$20*Table2[[#This Row],[DecDate2]]</f>
        <v>7.0976996554839502</v>
      </c>
      <c r="I189">
        <f>Table2[[#This Row],[Log Expenditure]]-Table2[[#This Row],[Quadratic Trend]]</f>
        <v>-8.4565004564360891E-3</v>
      </c>
      <c r="J189">
        <f t="shared" si="2"/>
        <v>2.5545280011094462E-3</v>
      </c>
    </row>
    <row r="190" spans="1:10" x14ac:dyDescent="0.3">
      <c r="A190">
        <v>1997</v>
      </c>
      <c r="B190">
        <v>1</v>
      </c>
      <c r="C190" s="1">
        <f>DATE(Table2[[#This Row],[Year]],(Table2[[#This Row],[Quarter]]-1)*3+2,15)</f>
        <v>35476</v>
      </c>
      <c r="D190">
        <f>Table2[[#This Row],[Year]]+1/8+(Table2[[#This Row],[Quarter]]-1)/4</f>
        <v>1997.125</v>
      </c>
      <c r="E190">
        <f>Table2[[#This Row],[DecDate]]^2</f>
        <v>3988508.265625</v>
      </c>
      <c r="F190">
        <v>1225</v>
      </c>
      <c r="G190">
        <f>LN(Table2[[#This Row],[Expenditure]])</f>
        <v>7.110696122978827</v>
      </c>
      <c r="H190">
        <f>$W$18+$W$19*Table2[[#This Row],[DecDate]]+$W$20*Table2[[#This Row],[DecDate2]]</f>
        <v>7.099141524002448</v>
      </c>
      <c r="I190">
        <f>Table2[[#This Row],[Log Expenditure]]-Table2[[#This Row],[Quadratic Trend]]</f>
        <v>1.1554598976379005E-2</v>
      </c>
      <c r="J190">
        <f t="shared" si="2"/>
        <v>-9.6738614355333045E-3</v>
      </c>
    </row>
    <row r="191" spans="1:10" x14ac:dyDescent="0.3">
      <c r="A191">
        <v>1997</v>
      </c>
      <c r="B191">
        <v>2</v>
      </c>
      <c r="C191" s="1">
        <f>DATE(Table2[[#This Row],[Year]],(Table2[[#This Row],[Quarter]]-1)*3+2,15)</f>
        <v>35565</v>
      </c>
      <c r="D191">
        <f>Table2[[#This Row],[Year]]+1/8+(Table2[[#This Row],[Quarter]]-1)/4</f>
        <v>1997.375</v>
      </c>
      <c r="E191">
        <f>Table2[[#This Row],[DecDate]]^2</f>
        <v>3989506.890625</v>
      </c>
      <c r="F191">
        <v>1238</v>
      </c>
      <c r="G191">
        <f>LN(Table2[[#This Row],[Expenditure]])</f>
        <v>7.1212524532445416</v>
      </c>
      <c r="H191">
        <f>$W$18+$W$19*Table2[[#This Row],[DecDate]]+$W$20*Table2[[#This Row],[DecDate2]]</f>
        <v>7.1005696764385107</v>
      </c>
      <c r="I191">
        <f>Table2[[#This Row],[Log Expenditure]]-Table2[[#This Row],[Quadratic Trend]]</f>
        <v>2.0682776806030923E-2</v>
      </c>
      <c r="J191">
        <f t="shared" si="2"/>
        <v>-4.3389011805182063E-3</v>
      </c>
    </row>
    <row r="192" spans="1:10" x14ac:dyDescent="0.3">
      <c r="A192">
        <v>1997</v>
      </c>
      <c r="B192">
        <v>3</v>
      </c>
      <c r="C192" s="1">
        <f>DATE(Table2[[#This Row],[Year]],(Table2[[#This Row],[Quarter]]-1)*3+2,15)</f>
        <v>35657</v>
      </c>
      <c r="D192">
        <f>Table2[[#This Row],[Year]]+1/8+(Table2[[#This Row],[Quarter]]-1)/4</f>
        <v>1997.625</v>
      </c>
      <c r="E192">
        <f>Table2[[#This Row],[DecDate]]^2</f>
        <v>3990505.640625</v>
      </c>
      <c r="F192">
        <v>1173</v>
      </c>
      <c r="G192">
        <f>LN(Table2[[#This Row],[Expenditure]])</f>
        <v>7.0673198486534758</v>
      </c>
      <c r="H192">
        <f>$W$18+$W$19*Table2[[#This Row],[DecDate]]+$W$20*Table2[[#This Row],[DecDate2]]</f>
        <v>7.1019841127924792</v>
      </c>
      <c r="I192">
        <f>Table2[[#This Row],[Log Expenditure]]-Table2[[#This Row],[Quadratic Trend]]</f>
        <v>-3.4664264139003365E-2</v>
      </c>
      <c r="J192">
        <f t="shared" si="2"/>
        <v>9.7136317983839151E-4</v>
      </c>
    </row>
    <row r="193" spans="1:10" x14ac:dyDescent="0.3">
      <c r="A193">
        <v>1997</v>
      </c>
      <c r="B193">
        <v>4</v>
      </c>
      <c r="C193" s="1">
        <f>DATE(Table2[[#This Row],[Year]],(Table2[[#This Row],[Quarter]]-1)*3+2,15)</f>
        <v>35749</v>
      </c>
      <c r="D193">
        <f>Table2[[#This Row],[Year]]+1/8+(Table2[[#This Row],[Quarter]]-1)/4</f>
        <v>1997.875</v>
      </c>
      <c r="E193">
        <f>Table2[[#This Row],[DecDate]]^2</f>
        <v>3991504.515625</v>
      </c>
      <c r="F193">
        <v>1203</v>
      </c>
      <c r="G193">
        <f>LN(Table2[[#This Row],[Expenditure]])</f>
        <v>7.0925737159746784</v>
      </c>
      <c r="H193">
        <f>$W$18+$W$19*Table2[[#This Row],[DecDate]]+$W$20*Table2[[#This Row],[DecDate2]]</f>
        <v>7.10338483306424</v>
      </c>
      <c r="I193">
        <f>Table2[[#This Row],[Log Expenditure]]-Table2[[#This Row],[Quadratic Trend]]</f>
        <v>-1.0811117089561506E-2</v>
      </c>
      <c r="J193">
        <f t="shared" si="2"/>
        <v>5.0460251212612658E-3</v>
      </c>
    </row>
    <row r="194" spans="1:10" x14ac:dyDescent="0.3">
      <c r="A194">
        <v>1998</v>
      </c>
      <c r="B194">
        <v>1</v>
      </c>
      <c r="C194" s="1">
        <f>DATE(Table2[[#This Row],[Year]],(Table2[[#This Row],[Quarter]]-1)*3+2,15)</f>
        <v>35841</v>
      </c>
      <c r="D194">
        <f>Table2[[#This Row],[Year]]+1/8+(Table2[[#This Row],[Quarter]]-1)/4</f>
        <v>1998.125</v>
      </c>
      <c r="E194">
        <f>Table2[[#This Row],[DecDate]]^2</f>
        <v>3992503.515625</v>
      </c>
      <c r="F194">
        <v>1240</v>
      </c>
      <c r="G194">
        <f>LN(Table2[[#This Row],[Expenditure]])</f>
        <v>7.122866658599083</v>
      </c>
      <c r="H194">
        <f>$W$18+$W$19*Table2[[#This Row],[DecDate]]+$W$20*Table2[[#This Row],[DecDate2]]</f>
        <v>7.1047718372537361</v>
      </c>
      <c r="I194">
        <f>Table2[[#This Row],[Log Expenditure]]-Table2[[#This Row],[Quadratic Trend]]</f>
        <v>1.8094821345346901E-2</v>
      </c>
      <c r="J194">
        <f t="shared" si="2"/>
        <v>-4.586169732602308E-3</v>
      </c>
    </row>
    <row r="195" spans="1:10" x14ac:dyDescent="0.3">
      <c r="A195">
        <v>1998</v>
      </c>
      <c r="B195">
        <v>2</v>
      </c>
      <c r="C195" s="1">
        <f>DATE(Table2[[#This Row],[Year]],(Table2[[#This Row],[Quarter]]-1)*3+2,15)</f>
        <v>35930</v>
      </c>
      <c r="D195">
        <f>Table2[[#This Row],[Year]]+1/8+(Table2[[#This Row],[Quarter]]-1)/4</f>
        <v>1998.375</v>
      </c>
      <c r="E195">
        <f>Table2[[#This Row],[DecDate]]^2</f>
        <v>3993502.640625</v>
      </c>
      <c r="F195">
        <v>1259</v>
      </c>
      <c r="G195">
        <f>LN(Table2[[#This Row],[Expenditure]])</f>
        <v>7.1380730340443472</v>
      </c>
      <c r="H195">
        <f>$W$18+$W$19*Table2[[#This Row],[DecDate]]+$W$20*Table2[[#This Row],[DecDate2]]</f>
        <v>7.1061451253608539</v>
      </c>
      <c r="I195">
        <f>Table2[[#This Row],[Log Expenditure]]-Table2[[#This Row],[Quadratic Trend]]</f>
        <v>3.1927908683493378E-2</v>
      </c>
      <c r="J195">
        <f t="shared" si="2"/>
        <v>1.5696620834395603E-3</v>
      </c>
    </row>
    <row r="196" spans="1:10" x14ac:dyDescent="0.3">
      <c r="A196">
        <v>1998</v>
      </c>
      <c r="B196">
        <v>3</v>
      </c>
      <c r="C196" s="1">
        <f>DATE(Table2[[#This Row],[Year]],(Table2[[#This Row],[Quarter]]-1)*3+2,15)</f>
        <v>36022</v>
      </c>
      <c r="D196">
        <f>Table2[[#This Row],[Year]]+1/8+(Table2[[#This Row],[Quarter]]-1)/4</f>
        <v>1998.625</v>
      </c>
      <c r="E196">
        <f>Table2[[#This Row],[DecDate]]^2</f>
        <v>3994501.890625</v>
      </c>
      <c r="F196">
        <v>1188</v>
      </c>
      <c r="G196">
        <f>LN(Table2[[#This Row],[Expenditure]])</f>
        <v>7.0800264999225906</v>
      </c>
      <c r="H196">
        <f>$W$18+$W$19*Table2[[#This Row],[DecDate]]+$W$20*Table2[[#This Row],[DecDate2]]</f>
        <v>7.1075046973858775</v>
      </c>
      <c r="I196">
        <f>Table2[[#This Row],[Log Expenditure]]-Table2[[#This Row],[Quadratic Trend]]</f>
        <v>-2.7478197463286946E-2</v>
      </c>
      <c r="J196">
        <f t="shared" si="2"/>
        <v>8.1948571955457791E-3</v>
      </c>
    </row>
    <row r="197" spans="1:10" x14ac:dyDescent="0.3">
      <c r="A197">
        <v>1998</v>
      </c>
      <c r="B197">
        <v>4</v>
      </c>
      <c r="C197" s="1">
        <f>DATE(Table2[[#This Row],[Year]],(Table2[[#This Row],[Quarter]]-1)*3+2,15)</f>
        <v>36114</v>
      </c>
      <c r="D197">
        <f>Table2[[#This Row],[Year]]+1/8+(Table2[[#This Row],[Quarter]]-1)/4</f>
        <v>1998.875</v>
      </c>
      <c r="E197">
        <f>Table2[[#This Row],[DecDate]]^2</f>
        <v>3995501.265625</v>
      </c>
      <c r="F197">
        <v>1218</v>
      </c>
      <c r="G197">
        <f>LN(Table2[[#This Row],[Expenditure]])</f>
        <v>7.1049654482698426</v>
      </c>
      <c r="H197">
        <f>$W$18+$W$19*Table2[[#This Row],[DecDate]]+$W$20*Table2[[#This Row],[DecDate2]]</f>
        <v>7.1088505533286366</v>
      </c>
      <c r="I197">
        <f>Table2[[#This Row],[Log Expenditure]]-Table2[[#This Row],[Quadratic Trend]]</f>
        <v>-3.885105058794025E-3</v>
      </c>
      <c r="J197">
        <f t="shared" ref="J197:J260" si="3">AVERAGE(I195:I199)</f>
        <v>1.0524694003102474E-2</v>
      </c>
    </row>
    <row r="198" spans="1:10" x14ac:dyDescent="0.3">
      <c r="A198">
        <v>1999</v>
      </c>
      <c r="B198">
        <v>1</v>
      </c>
      <c r="C198" s="1">
        <f>DATE(Table2[[#This Row],[Year]],(Table2[[#This Row],[Quarter]]-1)*3+2,15)</f>
        <v>36206</v>
      </c>
      <c r="D198">
        <f>Table2[[#This Row],[Year]]+1/8+(Table2[[#This Row],[Quarter]]-1)/4</f>
        <v>1999.125</v>
      </c>
      <c r="E198">
        <f>Table2[[#This Row],[DecDate]]^2</f>
        <v>3996500.765625</v>
      </c>
      <c r="F198">
        <v>1252</v>
      </c>
      <c r="G198">
        <f>LN(Table2[[#This Row],[Expenditure]])</f>
        <v>7.1324975516600437</v>
      </c>
      <c r="H198">
        <f>$W$18+$W$19*Table2[[#This Row],[DecDate]]+$W$20*Table2[[#This Row],[DecDate2]]</f>
        <v>7.1101826931890741</v>
      </c>
      <c r="I198">
        <f>Table2[[#This Row],[Log Expenditure]]-Table2[[#This Row],[Quadratic Trend]]</f>
        <v>2.231485847096959E-2</v>
      </c>
      <c r="J198">
        <f t="shared" si="3"/>
        <v>-2.7537367547385118E-3</v>
      </c>
    </row>
    <row r="199" spans="1:10" x14ac:dyDescent="0.3">
      <c r="A199">
        <v>1999</v>
      </c>
      <c r="B199">
        <v>2</v>
      </c>
      <c r="C199" s="1">
        <f>DATE(Table2[[#This Row],[Year]],(Table2[[#This Row],[Quarter]]-1)*3+2,15)</f>
        <v>36295</v>
      </c>
      <c r="D199">
        <f>Table2[[#This Row],[Year]]+1/8+(Table2[[#This Row],[Quarter]]-1)/4</f>
        <v>1999.375</v>
      </c>
      <c r="E199">
        <f>Table2[[#This Row],[DecDate]]^2</f>
        <v>3997500.390625</v>
      </c>
      <c r="F199">
        <v>1263</v>
      </c>
      <c r="G199">
        <f>LN(Table2[[#This Row],[Expenditure]])</f>
        <v>7.1412451223504911</v>
      </c>
      <c r="H199">
        <f>$W$18+$W$19*Table2[[#This Row],[DecDate]]+$W$20*Table2[[#This Row],[DecDate2]]</f>
        <v>7.1115011169673608</v>
      </c>
      <c r="I199">
        <f>Table2[[#This Row],[Log Expenditure]]-Table2[[#This Row],[Quadratic Trend]]</f>
        <v>2.9744005383130379E-2</v>
      </c>
      <c r="J199">
        <f t="shared" si="3"/>
        <v>-5.6769039456199271E-4</v>
      </c>
    </row>
    <row r="200" spans="1:10" x14ac:dyDescent="0.3">
      <c r="A200">
        <v>1999</v>
      </c>
      <c r="B200">
        <v>3</v>
      </c>
      <c r="C200" s="1">
        <f>DATE(Table2[[#This Row],[Year]],(Table2[[#This Row],[Quarter]]-1)*3+2,15)</f>
        <v>36387</v>
      </c>
      <c r="D200">
        <f>Table2[[#This Row],[Year]]+1/8+(Table2[[#This Row],[Quarter]]-1)/4</f>
        <v>1999.625</v>
      </c>
      <c r="E200">
        <f>Table2[[#This Row],[DecDate]]^2</f>
        <v>3998500.140625</v>
      </c>
      <c r="F200">
        <v>1186</v>
      </c>
      <c r="G200">
        <f>LN(Table2[[#This Row],[Expenditure]])</f>
        <v>7.0783415795576712</v>
      </c>
      <c r="H200">
        <f>$W$18+$W$19*Table2[[#This Row],[DecDate]]+$W$20*Table2[[#This Row],[DecDate2]]</f>
        <v>7.1128058246633827</v>
      </c>
      <c r="I200">
        <f>Table2[[#This Row],[Log Expenditure]]-Table2[[#This Row],[Quadratic Trend]]</f>
        <v>-3.4464245105711555E-2</v>
      </c>
      <c r="J200">
        <f t="shared" si="3"/>
        <v>2.6732521249385856E-3</v>
      </c>
    </row>
    <row r="201" spans="1:10" x14ac:dyDescent="0.3">
      <c r="A201">
        <v>1999</v>
      </c>
      <c r="B201">
        <v>4</v>
      </c>
      <c r="C201" s="1">
        <f>DATE(Table2[[#This Row],[Year]],(Table2[[#This Row],[Quarter]]-1)*3+2,15)</f>
        <v>36479</v>
      </c>
      <c r="D201">
        <f>Table2[[#This Row],[Year]]+1/8+(Table2[[#This Row],[Quarter]]-1)/4</f>
        <v>1999.875</v>
      </c>
      <c r="E201">
        <f>Table2[[#This Row],[DecDate]]^2</f>
        <v>3999500.015625</v>
      </c>
      <c r="F201">
        <v>1209</v>
      </c>
      <c r="G201">
        <f>LN(Table2[[#This Row],[Expenditure]])</f>
        <v>7.0975488506147926</v>
      </c>
      <c r="H201">
        <f>$W$18+$W$19*Table2[[#This Row],[DecDate]]+$W$20*Table2[[#This Row],[DecDate2]]</f>
        <v>7.1140968162771969</v>
      </c>
      <c r="I201">
        <f>Table2[[#This Row],[Log Expenditure]]-Table2[[#This Row],[Quadratic Trend]]</f>
        <v>-1.6547965662404351E-2</v>
      </c>
      <c r="J201">
        <f t="shared" si="3"/>
        <v>2.0202195847785374E-3</v>
      </c>
    </row>
    <row r="202" spans="1:10" x14ac:dyDescent="0.3">
      <c r="A202">
        <v>2000</v>
      </c>
      <c r="B202">
        <v>1</v>
      </c>
      <c r="C202" s="1">
        <f>DATE(Table2[[#This Row],[Year]],(Table2[[#This Row],[Quarter]]-1)*3+2,15)</f>
        <v>36571</v>
      </c>
      <c r="D202">
        <f>Table2[[#This Row],[Year]]+1/8+(Table2[[#This Row],[Quarter]]-1)/4</f>
        <v>2000.125</v>
      </c>
      <c r="E202">
        <f>Table2[[#This Row],[DecDate]]^2</f>
        <v>4000500.015625</v>
      </c>
      <c r="F202">
        <v>1246</v>
      </c>
      <c r="G202">
        <f>LN(Table2[[#This Row],[Expenditure]])</f>
        <v>7.1276936993473985</v>
      </c>
      <c r="H202">
        <f>$W$18+$W$19*Table2[[#This Row],[DecDate]]+$W$20*Table2[[#This Row],[DecDate2]]</f>
        <v>7.1153740918086896</v>
      </c>
      <c r="I202">
        <f>Table2[[#This Row],[Log Expenditure]]-Table2[[#This Row],[Quadratic Trend]]</f>
        <v>1.2319607538708865E-2</v>
      </c>
      <c r="J202">
        <f t="shared" si="3"/>
        <v>-1.1837764505335002E-2</v>
      </c>
    </row>
    <row r="203" spans="1:10" x14ac:dyDescent="0.3">
      <c r="A203">
        <v>2000</v>
      </c>
      <c r="B203">
        <v>2</v>
      </c>
      <c r="C203" s="1">
        <f>DATE(Table2[[#This Row],[Year]],(Table2[[#This Row],[Quarter]]-1)*3+2,15)</f>
        <v>36661</v>
      </c>
      <c r="D203">
        <f>Table2[[#This Row],[Year]]+1/8+(Table2[[#This Row],[Quarter]]-1)/4</f>
        <v>2000.375</v>
      </c>
      <c r="E203">
        <f>Table2[[#This Row],[DecDate]]^2</f>
        <v>4001500.140625</v>
      </c>
      <c r="F203">
        <v>1256</v>
      </c>
      <c r="G203">
        <f>LN(Table2[[#This Row],[Expenditure]])</f>
        <v>7.1356873470281439</v>
      </c>
      <c r="H203">
        <f>$W$18+$W$19*Table2[[#This Row],[DecDate]]+$W$20*Table2[[#This Row],[DecDate2]]</f>
        <v>7.1166376512579745</v>
      </c>
      <c r="I203">
        <f>Table2[[#This Row],[Log Expenditure]]-Table2[[#This Row],[Quadratic Trend]]</f>
        <v>1.904969577016935E-2</v>
      </c>
      <c r="J203">
        <f t="shared" si="3"/>
        <v>-7.4484123207163577E-3</v>
      </c>
    </row>
    <row r="204" spans="1:10" x14ac:dyDescent="0.3">
      <c r="A204">
        <v>2000</v>
      </c>
      <c r="B204">
        <v>3</v>
      </c>
      <c r="C204" s="1">
        <f>DATE(Table2[[#This Row],[Year]],(Table2[[#This Row],[Quarter]]-1)*3+2,15)</f>
        <v>36753</v>
      </c>
      <c r="D204">
        <f>Table2[[#This Row],[Year]]+1/8+(Table2[[#This Row],[Quarter]]-1)/4</f>
        <v>2000.625</v>
      </c>
      <c r="E204">
        <f>Table2[[#This Row],[DecDate]]^2</f>
        <v>4002500.390625</v>
      </c>
      <c r="F204">
        <v>1186</v>
      </c>
      <c r="G204">
        <f>LN(Table2[[#This Row],[Expenditure]])</f>
        <v>7.0783415795576712</v>
      </c>
      <c r="H204">
        <f>$W$18+$W$19*Table2[[#This Row],[DecDate]]+$W$20*Table2[[#This Row],[DecDate2]]</f>
        <v>7.1178874946251085</v>
      </c>
      <c r="I204">
        <f>Table2[[#This Row],[Log Expenditure]]-Table2[[#This Row],[Quadratic Trend]]</f>
        <v>-3.9545915067437321E-2</v>
      </c>
      <c r="J204">
        <f t="shared" si="3"/>
        <v>-1.1741719049762622E-4</v>
      </c>
    </row>
    <row r="205" spans="1:10" x14ac:dyDescent="0.3">
      <c r="A205">
        <v>2000</v>
      </c>
      <c r="B205">
        <v>4</v>
      </c>
      <c r="C205" s="1">
        <f>DATE(Table2[[#This Row],[Year]],(Table2[[#This Row],[Quarter]]-1)*3+2,15)</f>
        <v>36845</v>
      </c>
      <c r="D205">
        <f>Table2[[#This Row],[Year]]+1/8+(Table2[[#This Row],[Quarter]]-1)/4</f>
        <v>2000.875</v>
      </c>
      <c r="E205">
        <f>Table2[[#This Row],[DecDate]]^2</f>
        <v>4003500.765625</v>
      </c>
      <c r="F205">
        <v>1220</v>
      </c>
      <c r="G205">
        <f>LN(Table2[[#This Row],[Expenditure]])</f>
        <v>7.1066061377273027</v>
      </c>
      <c r="H205">
        <f>$W$18+$W$19*Table2[[#This Row],[DecDate]]+$W$20*Table2[[#This Row],[DecDate2]]</f>
        <v>7.119123621909921</v>
      </c>
      <c r="I205">
        <f>Table2[[#This Row],[Log Expenditure]]-Table2[[#This Row],[Quadratic Trend]]</f>
        <v>-1.2517484182618333E-2</v>
      </c>
      <c r="J205">
        <f t="shared" si="3"/>
        <v>3.2480071737040817E-3</v>
      </c>
    </row>
    <row r="206" spans="1:10" x14ac:dyDescent="0.3">
      <c r="A206">
        <v>2001</v>
      </c>
      <c r="B206">
        <v>1</v>
      </c>
      <c r="C206" s="1">
        <f>DATE(Table2[[#This Row],[Year]],(Table2[[#This Row],[Quarter]]-1)*3+2,15)</f>
        <v>36937</v>
      </c>
      <c r="D206">
        <f>Table2[[#This Row],[Year]]+1/8+(Table2[[#This Row],[Quarter]]-1)/4</f>
        <v>2001.125</v>
      </c>
      <c r="E206">
        <f>Table2[[#This Row],[DecDate]]^2</f>
        <v>4004501.265625</v>
      </c>
      <c r="F206">
        <v>1262</v>
      </c>
      <c r="G206">
        <f>LN(Table2[[#This Row],[Expenditure]])</f>
        <v>7.1404530431011581</v>
      </c>
      <c r="H206">
        <f>$W$18+$W$19*Table2[[#This Row],[DecDate]]+$W$20*Table2[[#This Row],[DecDate2]]</f>
        <v>7.1203460331124688</v>
      </c>
      <c r="I206">
        <f>Table2[[#This Row],[Log Expenditure]]-Table2[[#This Row],[Quadratic Trend]]</f>
        <v>2.0107009988689306E-2</v>
      </c>
      <c r="J206">
        <f t="shared" si="3"/>
        <v>-7.0965062792996744E-3</v>
      </c>
    </row>
    <row r="207" spans="1:10" x14ac:dyDescent="0.3">
      <c r="A207">
        <v>2001</v>
      </c>
      <c r="B207">
        <v>2</v>
      </c>
      <c r="C207" s="1">
        <f>DATE(Table2[[#This Row],[Year]],(Table2[[#This Row],[Quarter]]-1)*3+2,15)</f>
        <v>37026</v>
      </c>
      <c r="D207">
        <f>Table2[[#This Row],[Year]]+1/8+(Table2[[#This Row],[Quarter]]-1)/4</f>
        <v>2001.375</v>
      </c>
      <c r="E207">
        <f>Table2[[#This Row],[DecDate]]^2</f>
        <v>4005501.890625</v>
      </c>
      <c r="F207">
        <v>1275</v>
      </c>
      <c r="G207">
        <f>LN(Table2[[#This Row],[Expenditure]])</f>
        <v>7.1507014575925263</v>
      </c>
      <c r="H207">
        <f>$W$18+$W$19*Table2[[#This Row],[DecDate]]+$W$20*Table2[[#This Row],[DecDate2]]</f>
        <v>7.1215547282328089</v>
      </c>
      <c r="I207">
        <f>Table2[[#This Row],[Log Expenditure]]-Table2[[#This Row],[Quadratic Trend]]</f>
        <v>2.9146729359717405E-2</v>
      </c>
      <c r="J207">
        <f t="shared" si="3"/>
        <v>1.1535716733490631E-4</v>
      </c>
    </row>
    <row r="208" spans="1:10" x14ac:dyDescent="0.3">
      <c r="A208">
        <v>2001</v>
      </c>
      <c r="B208">
        <v>3</v>
      </c>
      <c r="C208" s="1">
        <f>DATE(Table2[[#This Row],[Year]],(Table2[[#This Row],[Quarter]]-1)*3+2,15)</f>
        <v>37118</v>
      </c>
      <c r="D208">
        <f>Table2[[#This Row],[Year]]+1/8+(Table2[[#This Row],[Quarter]]-1)/4</f>
        <v>2001.625</v>
      </c>
      <c r="E208">
        <f>Table2[[#This Row],[DecDate]]^2</f>
        <v>4006502.640625</v>
      </c>
      <c r="F208">
        <v>1200</v>
      </c>
      <c r="G208">
        <f>LN(Table2[[#This Row],[Expenditure]])</f>
        <v>7.0900768357760917</v>
      </c>
      <c r="H208">
        <f>$W$18+$W$19*Table2[[#This Row],[DecDate]]+$W$20*Table2[[#This Row],[DecDate2]]</f>
        <v>7.1227497072709411</v>
      </c>
      <c r="I208">
        <f>Table2[[#This Row],[Log Expenditure]]-Table2[[#This Row],[Quadratic Trend]]</f>
        <v>-3.2672871494849431E-2</v>
      </c>
      <c r="J208">
        <f t="shared" si="3"/>
        <v>6.48058664800395E-3</v>
      </c>
    </row>
    <row r="209" spans="1:10" x14ac:dyDescent="0.3">
      <c r="A209">
        <v>2001</v>
      </c>
      <c r="B209">
        <v>4</v>
      </c>
      <c r="C209" s="1">
        <f>DATE(Table2[[#This Row],[Year]],(Table2[[#This Row],[Quarter]]-1)*3+2,15)</f>
        <v>37210</v>
      </c>
      <c r="D209">
        <f>Table2[[#This Row],[Year]]+1/8+(Table2[[#This Row],[Quarter]]-1)/4</f>
        <v>2001.875</v>
      </c>
      <c r="E209">
        <f>Table2[[#This Row],[DecDate]]^2</f>
        <v>4007503.515625</v>
      </c>
      <c r="F209">
        <v>1237</v>
      </c>
      <c r="G209">
        <f>LN(Table2[[#This Row],[Expenditure]])</f>
        <v>7.1204443723924875</v>
      </c>
      <c r="H209">
        <f>$W$18+$W$19*Table2[[#This Row],[DecDate]]+$W$20*Table2[[#This Row],[DecDate2]]</f>
        <v>7.1239309702267519</v>
      </c>
      <c r="I209">
        <f>Table2[[#This Row],[Log Expenditure]]-Table2[[#This Row],[Quadratic Trend]]</f>
        <v>-3.4865978342644155E-3</v>
      </c>
      <c r="J209">
        <f t="shared" si="3"/>
        <v>6.0901511361324268E-3</v>
      </c>
    </row>
    <row r="210" spans="1:10" x14ac:dyDescent="0.3">
      <c r="A210">
        <v>2002</v>
      </c>
      <c r="B210">
        <v>1</v>
      </c>
      <c r="C210" s="1">
        <f>DATE(Table2[[#This Row],[Year]],(Table2[[#This Row],[Quarter]]-1)*3+2,15)</f>
        <v>37302</v>
      </c>
      <c r="D210">
        <f>Table2[[#This Row],[Year]]+1/8+(Table2[[#This Row],[Quarter]]-1)/4</f>
        <v>2002.125</v>
      </c>
      <c r="E210">
        <f>Table2[[#This Row],[DecDate]]^2</f>
        <v>4008504.515625</v>
      </c>
      <c r="F210">
        <v>1267</v>
      </c>
      <c r="G210">
        <f>LN(Table2[[#This Row],[Expenditure]])</f>
        <v>7.1444071803211386</v>
      </c>
      <c r="H210">
        <f>$W$18+$W$19*Table2[[#This Row],[DecDate]]+$W$20*Table2[[#This Row],[DecDate2]]</f>
        <v>7.1250985171004118</v>
      </c>
      <c r="I210">
        <f>Table2[[#This Row],[Log Expenditure]]-Table2[[#This Row],[Quadratic Trend]]</f>
        <v>1.9308663220726885E-2</v>
      </c>
      <c r="J210">
        <f t="shared" si="3"/>
        <v>-7.5359315209309937E-3</v>
      </c>
    </row>
    <row r="211" spans="1:10" x14ac:dyDescent="0.3">
      <c r="A211">
        <v>2002</v>
      </c>
      <c r="B211">
        <v>2</v>
      </c>
      <c r="C211" s="1">
        <f>DATE(Table2[[#This Row],[Year]],(Table2[[#This Row],[Quarter]]-1)*3+2,15)</f>
        <v>37391</v>
      </c>
      <c r="D211">
        <f>Table2[[#This Row],[Year]]+1/8+(Table2[[#This Row],[Quarter]]-1)/4</f>
        <v>2002.375</v>
      </c>
      <c r="E211">
        <f>Table2[[#This Row],[DecDate]]^2</f>
        <v>4009505.640625</v>
      </c>
      <c r="F211">
        <v>1267</v>
      </c>
      <c r="G211">
        <f>LN(Table2[[#This Row],[Expenditure]])</f>
        <v>7.1444071803211386</v>
      </c>
      <c r="H211">
        <f>$W$18+$W$19*Table2[[#This Row],[DecDate]]+$W$20*Table2[[#This Row],[DecDate2]]</f>
        <v>7.1262523478918069</v>
      </c>
      <c r="I211">
        <f>Table2[[#This Row],[Log Expenditure]]-Table2[[#This Row],[Quadratic Trend]]</f>
        <v>1.8154832429331691E-2</v>
      </c>
      <c r="J211">
        <f t="shared" si="3"/>
        <v>-4.2396405253395386E-3</v>
      </c>
    </row>
    <row r="212" spans="1:10" x14ac:dyDescent="0.3">
      <c r="A212">
        <v>2002</v>
      </c>
      <c r="B212">
        <v>3</v>
      </c>
      <c r="C212" s="1">
        <f>DATE(Table2[[#This Row],[Year]],(Table2[[#This Row],[Quarter]]-1)*3+2,15)</f>
        <v>37483</v>
      </c>
      <c r="D212">
        <f>Table2[[#This Row],[Year]]+1/8+(Table2[[#This Row],[Quarter]]-1)/4</f>
        <v>2002.625</v>
      </c>
      <c r="E212">
        <f>Table2[[#This Row],[DecDate]]^2</f>
        <v>4010506.890625</v>
      </c>
      <c r="F212">
        <v>1198</v>
      </c>
      <c r="G212">
        <f>LN(Table2[[#This Row],[Expenditure]])</f>
        <v>7.0884087786753947</v>
      </c>
      <c r="H212">
        <f>$W$18+$W$19*Table2[[#This Row],[DecDate]]+$W$20*Table2[[#This Row],[DecDate2]]</f>
        <v>7.1273924626009943</v>
      </c>
      <c r="I212">
        <f>Table2[[#This Row],[Log Expenditure]]-Table2[[#This Row],[Quadratic Trend]]</f>
        <v>-3.8983683925599699E-2</v>
      </c>
      <c r="J212">
        <f t="shared" si="3"/>
        <v>-9.0314948066616552E-4</v>
      </c>
    </row>
    <row r="213" spans="1:10" x14ac:dyDescent="0.3">
      <c r="A213">
        <v>2002</v>
      </c>
      <c r="B213">
        <v>4</v>
      </c>
      <c r="C213" s="1">
        <f>DATE(Table2[[#This Row],[Year]],(Table2[[#This Row],[Quarter]]-1)*3+2,15)</f>
        <v>37575</v>
      </c>
      <c r="D213">
        <f>Table2[[#This Row],[Year]]+1/8+(Table2[[#This Row],[Quarter]]-1)/4</f>
        <v>2002.875</v>
      </c>
      <c r="E213">
        <f>Table2[[#This Row],[DecDate]]^2</f>
        <v>4011508.265625</v>
      </c>
      <c r="F213">
        <v>1227</v>
      </c>
      <c r="G213">
        <f>LN(Table2[[#This Row],[Expenditure]])</f>
        <v>7.1123274447109113</v>
      </c>
      <c r="H213">
        <f>$W$18+$W$19*Table2[[#This Row],[DecDate]]+$W$20*Table2[[#This Row],[DecDate2]]</f>
        <v>7.1285188612278034</v>
      </c>
      <c r="I213">
        <f>Table2[[#This Row],[Log Expenditure]]-Table2[[#This Row],[Quadratic Trend]]</f>
        <v>-1.6191416516892154E-2</v>
      </c>
      <c r="J213">
        <f t="shared" si="3"/>
        <v>-9.276169453835692E-4</v>
      </c>
    </row>
    <row r="214" spans="1:10" x14ac:dyDescent="0.3">
      <c r="A214">
        <v>2003</v>
      </c>
      <c r="B214">
        <v>1</v>
      </c>
      <c r="C214" s="1">
        <f>DATE(Table2[[#This Row],[Year]],(Table2[[#This Row],[Quarter]]-1)*3+2,15)</f>
        <v>37667</v>
      </c>
      <c r="D214">
        <f>Table2[[#This Row],[Year]]+1/8+(Table2[[#This Row],[Quarter]]-1)/4</f>
        <v>2003.125</v>
      </c>
      <c r="E214">
        <f>Table2[[#This Row],[DecDate]]^2</f>
        <v>4012509.765625</v>
      </c>
      <c r="F214">
        <v>1265</v>
      </c>
      <c r="G214">
        <f>LN(Table2[[#This Row],[Expenditure]])</f>
        <v>7.1428274011616208</v>
      </c>
      <c r="H214">
        <f>$W$18+$W$19*Table2[[#This Row],[DecDate]]+$W$20*Table2[[#This Row],[DecDate2]]</f>
        <v>7.1296315437725184</v>
      </c>
      <c r="I214">
        <f>Table2[[#This Row],[Log Expenditure]]-Table2[[#This Row],[Quadratic Trend]]</f>
        <v>1.319585738910245E-2</v>
      </c>
      <c r="J214">
        <f t="shared" si="3"/>
        <v>-1.0751353765482108E-2</v>
      </c>
    </row>
    <row r="215" spans="1:10" x14ac:dyDescent="0.3">
      <c r="A215">
        <v>2003</v>
      </c>
      <c r="B215">
        <v>2</v>
      </c>
      <c r="C215" s="1">
        <f>DATE(Table2[[#This Row],[Year]],(Table2[[#This Row],[Quarter]]-1)*3+2,15)</f>
        <v>37756</v>
      </c>
      <c r="D215">
        <f>Table2[[#This Row],[Year]]+1/8+(Table2[[#This Row],[Quarter]]-1)/4</f>
        <v>2003.375</v>
      </c>
      <c r="E215">
        <f>Table2[[#This Row],[DecDate]]^2</f>
        <v>4013511.390625</v>
      </c>
      <c r="F215">
        <v>1274</v>
      </c>
      <c r="G215">
        <f>LN(Table2[[#This Row],[Expenditure]])</f>
        <v>7.1499168361321086</v>
      </c>
      <c r="H215">
        <f>$W$18+$W$19*Table2[[#This Row],[DecDate]]+$W$20*Table2[[#This Row],[DecDate2]]</f>
        <v>7.1307305102349687</v>
      </c>
      <c r="I215">
        <f>Table2[[#This Row],[Log Expenditure]]-Table2[[#This Row],[Quadratic Trend]]</f>
        <v>1.9186325897139866E-2</v>
      </c>
      <c r="J215">
        <f t="shared" si="3"/>
        <v>-5.1200996371488115E-3</v>
      </c>
    </row>
    <row r="216" spans="1:10" x14ac:dyDescent="0.3">
      <c r="A216">
        <v>2003</v>
      </c>
      <c r="B216">
        <v>3</v>
      </c>
      <c r="C216" s="1">
        <f>DATE(Table2[[#This Row],[Year]],(Table2[[#This Row],[Quarter]]-1)*3+2,15)</f>
        <v>37848</v>
      </c>
      <c r="D216">
        <f>Table2[[#This Row],[Year]]+1/8+(Table2[[#This Row],[Quarter]]-1)/4</f>
        <v>2003.625</v>
      </c>
      <c r="E216">
        <f>Table2[[#This Row],[DecDate]]^2</f>
        <v>4014513.140625</v>
      </c>
      <c r="F216">
        <v>1213</v>
      </c>
      <c r="G216">
        <f>LN(Table2[[#This Row],[Expenditure]])</f>
        <v>7.1008519089440503</v>
      </c>
      <c r="H216">
        <f>$W$18+$W$19*Table2[[#This Row],[DecDate]]+$W$20*Table2[[#This Row],[DecDate2]]</f>
        <v>7.1318157606152113</v>
      </c>
      <c r="I216">
        <f>Table2[[#This Row],[Log Expenditure]]-Table2[[#This Row],[Quadratic Trend]]</f>
        <v>-3.0963851671161002E-2</v>
      </c>
      <c r="J216">
        <f t="shared" si="3"/>
        <v>1.1554807519532418E-3</v>
      </c>
    </row>
    <row r="217" spans="1:10" x14ac:dyDescent="0.3">
      <c r="A217">
        <v>2003</v>
      </c>
      <c r="B217">
        <v>4</v>
      </c>
      <c r="C217" s="1">
        <f>DATE(Table2[[#This Row],[Year]],(Table2[[#This Row],[Quarter]]-1)*3+2,15)</f>
        <v>37940</v>
      </c>
      <c r="D217">
        <f>Table2[[#This Row],[Year]]+1/8+(Table2[[#This Row],[Quarter]]-1)/4</f>
        <v>2003.875</v>
      </c>
      <c r="E217">
        <f>Table2[[#This Row],[DecDate]]^2</f>
        <v>4015515.015625</v>
      </c>
      <c r="F217">
        <v>1239</v>
      </c>
      <c r="G217">
        <f>LN(Table2[[#This Row],[Expenditure]])</f>
        <v>7.1220598816291423</v>
      </c>
      <c r="H217">
        <f>$W$18+$W$19*Table2[[#This Row],[DecDate]]+$W$20*Table2[[#This Row],[DecDate2]]</f>
        <v>7.1328872949130755</v>
      </c>
      <c r="I217">
        <f>Table2[[#This Row],[Log Expenditure]]-Table2[[#This Row],[Quadratic Trend]]</f>
        <v>-1.0827413283933218E-2</v>
      </c>
      <c r="J217">
        <f t="shared" si="3"/>
        <v>2.9097391448011933E-3</v>
      </c>
    </row>
    <row r="218" spans="1:10" x14ac:dyDescent="0.3">
      <c r="A218">
        <v>2004</v>
      </c>
      <c r="B218">
        <v>1</v>
      </c>
      <c r="C218" s="1">
        <f>DATE(Table2[[#This Row],[Year]],(Table2[[#This Row],[Quarter]]-1)*3+2,15)</f>
        <v>38032</v>
      </c>
      <c r="D218">
        <f>Table2[[#This Row],[Year]]+1/8+(Table2[[#This Row],[Quarter]]-1)/4</f>
        <v>2004.125</v>
      </c>
      <c r="E218">
        <f>Table2[[#This Row],[DecDate]]^2</f>
        <v>4016517.015625</v>
      </c>
      <c r="F218">
        <v>1273</v>
      </c>
      <c r="G218">
        <f>LN(Table2[[#This Row],[Expenditure]])</f>
        <v>7.1491315985574069</v>
      </c>
      <c r="H218">
        <f>$W$18+$W$19*Table2[[#This Row],[DecDate]]+$W$20*Table2[[#This Row],[DecDate2]]</f>
        <v>7.1339451131287888</v>
      </c>
      <c r="I218">
        <f>Table2[[#This Row],[Log Expenditure]]-Table2[[#This Row],[Quadratic Trend]]</f>
        <v>1.5186485428618113E-2</v>
      </c>
      <c r="J218">
        <f t="shared" si="3"/>
        <v>-7.467033792088529E-3</v>
      </c>
    </row>
    <row r="219" spans="1:10" x14ac:dyDescent="0.3">
      <c r="A219">
        <v>2004</v>
      </c>
      <c r="B219">
        <v>2</v>
      </c>
      <c r="C219" s="1">
        <f>DATE(Table2[[#This Row],[Year]],(Table2[[#This Row],[Quarter]]-1)*3+2,15)</f>
        <v>38122</v>
      </c>
      <c r="D219">
        <f>Table2[[#This Row],[Year]]+1/8+(Table2[[#This Row],[Quarter]]-1)/4</f>
        <v>2004.375</v>
      </c>
      <c r="E219">
        <f>Table2[[#This Row],[DecDate]]^2</f>
        <v>4017519.140625</v>
      </c>
      <c r="F219">
        <v>1283</v>
      </c>
      <c r="G219">
        <f>LN(Table2[[#This Row],[Expenditure]])</f>
        <v>7.1569563646156364</v>
      </c>
      <c r="H219">
        <f>$W$18+$W$19*Table2[[#This Row],[DecDate]]+$W$20*Table2[[#This Row],[DecDate2]]</f>
        <v>7.1349892152622942</v>
      </c>
      <c r="I219">
        <f>Table2[[#This Row],[Log Expenditure]]-Table2[[#This Row],[Quadratic Trend]]</f>
        <v>2.1967149353342208E-2</v>
      </c>
      <c r="J219">
        <f t="shared" si="3"/>
        <v>-3.3033559345856389E-3</v>
      </c>
    </row>
    <row r="220" spans="1:10" x14ac:dyDescent="0.3">
      <c r="A220">
        <v>2004</v>
      </c>
      <c r="B220">
        <v>3</v>
      </c>
      <c r="C220" s="1">
        <f>DATE(Table2[[#This Row],[Year]],(Table2[[#This Row],[Quarter]]-1)*3+2,15)</f>
        <v>38214</v>
      </c>
      <c r="D220">
        <f>Table2[[#This Row],[Year]]+1/8+(Table2[[#This Row],[Quarter]]-1)/4</f>
        <v>2004.625</v>
      </c>
      <c r="E220">
        <f>Table2[[#This Row],[DecDate]]^2</f>
        <v>4018521.390625</v>
      </c>
      <c r="F220">
        <v>1216</v>
      </c>
      <c r="G220">
        <f>LN(Table2[[#This Row],[Expenditure]])</f>
        <v>7.1033220625261126</v>
      </c>
      <c r="H220">
        <f>$W$18+$W$19*Table2[[#This Row],[DecDate]]+$W$20*Table2[[#This Row],[DecDate2]]</f>
        <v>7.1360196013134214</v>
      </c>
      <c r="I220">
        <f>Table2[[#This Row],[Log Expenditure]]-Table2[[#This Row],[Quadratic Trend]]</f>
        <v>-3.2697538787308744E-2</v>
      </c>
      <c r="J220">
        <f t="shared" si="3"/>
        <v>2.9350868779065564E-4</v>
      </c>
    </row>
    <row r="221" spans="1:10" x14ac:dyDescent="0.3">
      <c r="A221">
        <v>2004</v>
      </c>
      <c r="B221">
        <v>4</v>
      </c>
      <c r="C221" s="1">
        <f>DATE(Table2[[#This Row],[Year]],(Table2[[#This Row],[Quarter]]-1)*3+2,15)</f>
        <v>38306</v>
      </c>
      <c r="D221">
        <f>Table2[[#This Row],[Year]]+1/8+(Table2[[#This Row],[Quarter]]-1)/4</f>
        <v>2004.875</v>
      </c>
      <c r="E221">
        <f>Table2[[#This Row],[DecDate]]^2</f>
        <v>4019523.765625</v>
      </c>
      <c r="F221">
        <v>1245</v>
      </c>
      <c r="G221">
        <f>LN(Table2[[#This Row],[Expenditure]])</f>
        <v>7.1268908088988079</v>
      </c>
      <c r="H221">
        <f>$W$18+$W$19*Table2[[#This Row],[DecDate]]+$W$20*Table2[[#This Row],[DecDate2]]</f>
        <v>7.1370362712824544</v>
      </c>
      <c r="I221">
        <f>Table2[[#This Row],[Log Expenditure]]-Table2[[#This Row],[Quadratic Trend]]</f>
        <v>-1.0145462383646553E-2</v>
      </c>
      <c r="J221">
        <f t="shared" si="3"/>
        <v>-1.1950451021622399E-3</v>
      </c>
    </row>
    <row r="222" spans="1:10" x14ac:dyDescent="0.3">
      <c r="A222">
        <v>2005</v>
      </c>
      <c r="B222">
        <v>1</v>
      </c>
      <c r="C222" s="1">
        <f>DATE(Table2[[#This Row],[Year]],(Table2[[#This Row],[Quarter]]-1)*3+2,15)</f>
        <v>38398</v>
      </c>
      <c r="D222">
        <f>Table2[[#This Row],[Year]]+1/8+(Table2[[#This Row],[Quarter]]-1)/4</f>
        <v>2005.125</v>
      </c>
      <c r="E222">
        <f>Table2[[#This Row],[DecDate]]^2</f>
        <v>4020526.265625</v>
      </c>
      <c r="F222">
        <v>1268</v>
      </c>
      <c r="G222">
        <f>LN(Table2[[#This Row],[Expenditure]])</f>
        <v>7.1451961349971711</v>
      </c>
      <c r="H222">
        <f>$W$18+$W$19*Table2[[#This Row],[DecDate]]+$W$20*Table2[[#This Row],[DecDate2]]</f>
        <v>7.1380392251692228</v>
      </c>
      <c r="I222">
        <f>Table2[[#This Row],[Log Expenditure]]-Table2[[#This Row],[Quadratic Trend]]</f>
        <v>7.1569098279482546E-3</v>
      </c>
      <c r="J222">
        <f t="shared" si="3"/>
        <v>-1.4244996213071737E-2</v>
      </c>
    </row>
    <row r="223" spans="1:10" x14ac:dyDescent="0.3">
      <c r="A223">
        <v>2005</v>
      </c>
      <c r="B223">
        <v>2</v>
      </c>
      <c r="C223" s="1">
        <f>DATE(Table2[[#This Row],[Year]],(Table2[[#This Row],[Quarter]]-1)*3+2,15)</f>
        <v>38487</v>
      </c>
      <c r="D223">
        <f>Table2[[#This Row],[Year]]+1/8+(Table2[[#This Row],[Quarter]]-1)/4</f>
        <v>2005.375</v>
      </c>
      <c r="E223">
        <f>Table2[[#This Row],[DecDate]]^2</f>
        <v>4021528.890625</v>
      </c>
      <c r="F223">
        <v>1270</v>
      </c>
      <c r="G223">
        <f>LN(Table2[[#This Row],[Expenditure]])</f>
        <v>7.1467721794526371</v>
      </c>
      <c r="H223">
        <f>$W$18+$W$19*Table2[[#This Row],[DecDate]]+$W$20*Table2[[#This Row],[DecDate2]]</f>
        <v>7.1390284629737835</v>
      </c>
      <c r="I223">
        <f>Table2[[#This Row],[Log Expenditure]]-Table2[[#This Row],[Quadratic Trend]]</f>
        <v>7.743716478853635E-3</v>
      </c>
      <c r="J223">
        <f t="shared" si="3"/>
        <v>-1.1164089481887985E-2</v>
      </c>
    </row>
    <row r="224" spans="1:10" x14ac:dyDescent="0.3">
      <c r="A224">
        <v>2005</v>
      </c>
      <c r="B224">
        <v>3</v>
      </c>
      <c r="C224" s="1">
        <f>DATE(Table2[[#This Row],[Year]],(Table2[[#This Row],[Quarter]]-1)*3+2,15)</f>
        <v>38579</v>
      </c>
      <c r="D224">
        <f>Table2[[#This Row],[Year]]+1/8+(Table2[[#This Row],[Quarter]]-1)/4</f>
        <v>2005.625</v>
      </c>
      <c r="E224">
        <f>Table2[[#This Row],[DecDate]]^2</f>
        <v>4022531.640625</v>
      </c>
      <c r="F224">
        <v>1208</v>
      </c>
      <c r="G224">
        <f>LN(Table2[[#This Row],[Expenditure]])</f>
        <v>7.0967213784947605</v>
      </c>
      <c r="H224">
        <f>$W$18+$W$19*Table2[[#This Row],[DecDate]]+$W$20*Table2[[#This Row],[DecDate2]]</f>
        <v>7.1400039846959658</v>
      </c>
      <c r="I224">
        <f>Table2[[#This Row],[Log Expenditure]]-Table2[[#This Row],[Quadratic Trend]]</f>
        <v>-4.3282606201205276E-2</v>
      </c>
      <c r="J224">
        <f t="shared" si="3"/>
        <v>-7.0640017774149296E-3</v>
      </c>
    </row>
    <row r="225" spans="1:10" x14ac:dyDescent="0.3">
      <c r="A225">
        <v>2005</v>
      </c>
      <c r="B225">
        <v>4</v>
      </c>
      <c r="C225" s="1">
        <f>DATE(Table2[[#This Row],[Year]],(Table2[[#This Row],[Quarter]]-1)*3+2,15)</f>
        <v>38671</v>
      </c>
      <c r="D225">
        <f>Table2[[#This Row],[Year]]+1/8+(Table2[[#This Row],[Quarter]]-1)/4</f>
        <v>2005.875</v>
      </c>
      <c r="E225">
        <f>Table2[[#This Row],[DecDate]]^2</f>
        <v>4023534.515625</v>
      </c>
      <c r="F225">
        <v>1241</v>
      </c>
      <c r="G225">
        <f>LN(Table2[[#This Row],[Expenditure]])</f>
        <v>7.1236727852046071</v>
      </c>
      <c r="H225">
        <f>$W$18+$W$19*Table2[[#This Row],[DecDate]]+$W$20*Table2[[#This Row],[DecDate2]]</f>
        <v>7.1409657903359971</v>
      </c>
      <c r="I225">
        <f>Table2[[#This Row],[Log Expenditure]]-Table2[[#This Row],[Quadratic Trend]]</f>
        <v>-1.7293005131389982E-2</v>
      </c>
      <c r="J225">
        <f t="shared" si="3"/>
        <v>-4.7406338290544529E-3</v>
      </c>
    </row>
    <row r="226" spans="1:10" x14ac:dyDescent="0.3">
      <c r="A226">
        <v>2006</v>
      </c>
      <c r="B226">
        <v>1</v>
      </c>
      <c r="C226" s="1">
        <f>DATE(Table2[[#This Row],[Year]],(Table2[[#This Row],[Quarter]]-1)*3+2,15)</f>
        <v>38763</v>
      </c>
      <c r="D226">
        <f>Table2[[#This Row],[Year]]+1/8+(Table2[[#This Row],[Quarter]]-1)/4</f>
        <v>2006.125</v>
      </c>
      <c r="E226">
        <f>Table2[[#This Row],[DecDate]]^2</f>
        <v>4024537.515625</v>
      </c>
      <c r="F226">
        <v>1277</v>
      </c>
      <c r="G226">
        <f>LN(Table2[[#This Row],[Expenditure]])</f>
        <v>7.1522688560325394</v>
      </c>
      <c r="H226">
        <f>$W$18+$W$19*Table2[[#This Row],[DecDate]]+$W$20*Table2[[#This Row],[DecDate2]]</f>
        <v>7.1419138798938206</v>
      </c>
      <c r="I226">
        <f>Table2[[#This Row],[Log Expenditure]]-Table2[[#This Row],[Quadratic Trend]]</f>
        <v>1.0354976138718719E-2</v>
      </c>
      <c r="J226">
        <f t="shared" si="3"/>
        <v>-1.3885933381105709E-2</v>
      </c>
    </row>
    <row r="227" spans="1:10" x14ac:dyDescent="0.3">
      <c r="A227">
        <v>2006</v>
      </c>
      <c r="B227">
        <v>2</v>
      </c>
      <c r="C227" s="1">
        <f>DATE(Table2[[#This Row],[Year]],(Table2[[#This Row],[Quarter]]-1)*3+2,15)</f>
        <v>38852</v>
      </c>
      <c r="D227">
        <f>Table2[[#This Row],[Year]]+1/8+(Table2[[#This Row],[Quarter]]-1)/4</f>
        <v>2006.375</v>
      </c>
      <c r="E227">
        <f>Table2[[#This Row],[DecDate]]^2</f>
        <v>4025540.640625</v>
      </c>
      <c r="F227">
        <v>1289</v>
      </c>
      <c r="G227">
        <f>LN(Table2[[#This Row],[Expenditure]])</f>
        <v>7.161622002939187</v>
      </c>
      <c r="H227">
        <f>$W$18+$W$19*Table2[[#This Row],[DecDate]]+$W$20*Table2[[#This Row],[DecDate2]]</f>
        <v>7.1428482533694364</v>
      </c>
      <c r="I227">
        <f>Table2[[#This Row],[Log Expenditure]]-Table2[[#This Row],[Quadratic Trend]]</f>
        <v>1.8773749569750642E-2</v>
      </c>
      <c r="J227">
        <f t="shared" si="3"/>
        <v>-8.6258426861370203E-3</v>
      </c>
    </row>
    <row r="228" spans="1:10" x14ac:dyDescent="0.3">
      <c r="A228">
        <v>2006</v>
      </c>
      <c r="B228">
        <v>3</v>
      </c>
      <c r="C228" s="1">
        <f>DATE(Table2[[#This Row],[Year]],(Table2[[#This Row],[Quarter]]-1)*3+2,15)</f>
        <v>38944</v>
      </c>
      <c r="D228">
        <f>Table2[[#This Row],[Year]]+1/8+(Table2[[#This Row],[Quarter]]-1)/4</f>
        <v>2006.625</v>
      </c>
      <c r="E228">
        <f>Table2[[#This Row],[DecDate]]^2</f>
        <v>4026543.890625</v>
      </c>
      <c r="F228">
        <v>1219</v>
      </c>
      <c r="G228">
        <f>LN(Table2[[#This Row],[Expenditure]])</f>
        <v>7.1057861294812712</v>
      </c>
      <c r="H228">
        <f>$W$18+$W$19*Table2[[#This Row],[DecDate]]+$W$20*Table2[[#This Row],[DecDate2]]</f>
        <v>7.1437689107626738</v>
      </c>
      <c r="I228">
        <f>Table2[[#This Row],[Log Expenditure]]-Table2[[#This Row],[Quadratic Trend]]</f>
        <v>-3.7982781281402644E-2</v>
      </c>
      <c r="J228">
        <f t="shared" si="3"/>
        <v>-3.8272859138789527E-3</v>
      </c>
    </row>
    <row r="229" spans="1:10" x14ac:dyDescent="0.3">
      <c r="A229">
        <v>2006</v>
      </c>
      <c r="B229">
        <v>4</v>
      </c>
      <c r="C229" s="1">
        <f>DATE(Table2[[#This Row],[Year]],(Table2[[#This Row],[Quarter]]-1)*3+2,15)</f>
        <v>39036</v>
      </c>
      <c r="D229">
        <f>Table2[[#This Row],[Year]]+1/8+(Table2[[#This Row],[Quarter]]-1)/4</f>
        <v>2006.875</v>
      </c>
      <c r="E229">
        <f>Table2[[#This Row],[DecDate]]^2</f>
        <v>4027547.265625</v>
      </c>
      <c r="F229">
        <v>1246</v>
      </c>
      <c r="G229">
        <f>LN(Table2[[#This Row],[Expenditure]])</f>
        <v>7.1276936993473985</v>
      </c>
      <c r="H229">
        <f>$W$18+$W$19*Table2[[#This Row],[DecDate]]+$W$20*Table2[[#This Row],[DecDate2]]</f>
        <v>7.1446758520737603</v>
      </c>
      <c r="I229">
        <f>Table2[[#This Row],[Log Expenditure]]-Table2[[#This Row],[Quadratic Trend]]</f>
        <v>-1.6982152726361832E-2</v>
      </c>
      <c r="J229">
        <f t="shared" si="3"/>
        <v>-3.7967255083232844E-3</v>
      </c>
    </row>
    <row r="230" spans="1:10" x14ac:dyDescent="0.3">
      <c r="A230">
        <v>2007</v>
      </c>
      <c r="B230">
        <v>1</v>
      </c>
      <c r="C230" s="1">
        <f>DATE(Table2[[#This Row],[Year]],(Table2[[#This Row],[Quarter]]-1)*3+2,15)</f>
        <v>39128</v>
      </c>
      <c r="D230">
        <f>Table2[[#This Row],[Year]]+1/8+(Table2[[#This Row],[Quarter]]-1)/4</f>
        <v>2007.125</v>
      </c>
      <c r="E230">
        <f>Table2[[#This Row],[DecDate]]^2</f>
        <v>4028550.765625</v>
      </c>
      <c r="F230">
        <v>1277</v>
      </c>
      <c r="G230">
        <f>LN(Table2[[#This Row],[Expenditure]])</f>
        <v>7.1522688560325394</v>
      </c>
      <c r="H230">
        <f>$W$18+$W$19*Table2[[#This Row],[DecDate]]+$W$20*Table2[[#This Row],[DecDate2]]</f>
        <v>7.145569077302639</v>
      </c>
      <c r="I230">
        <f>Table2[[#This Row],[Log Expenditure]]-Table2[[#This Row],[Quadratic Trend]]</f>
        <v>6.6997787299003519E-3</v>
      </c>
      <c r="J230">
        <f t="shared" si="3"/>
        <v>-1.6514480170041423E-2</v>
      </c>
    </row>
    <row r="231" spans="1:10" x14ac:dyDescent="0.3">
      <c r="A231">
        <v>2007</v>
      </c>
      <c r="B231">
        <v>2</v>
      </c>
      <c r="C231" s="1">
        <f>DATE(Table2[[#This Row],[Year]],(Table2[[#This Row],[Quarter]]-1)*3+2,15)</f>
        <v>39217</v>
      </c>
      <c r="D231">
        <f>Table2[[#This Row],[Year]]+1/8+(Table2[[#This Row],[Quarter]]-1)/4</f>
        <v>2007.375</v>
      </c>
      <c r="E231">
        <f>Table2[[#This Row],[DecDate]]^2</f>
        <v>4029554.390625</v>
      </c>
      <c r="F231">
        <v>1283</v>
      </c>
      <c r="G231">
        <f>LN(Table2[[#This Row],[Expenditure]])</f>
        <v>7.1569563646156364</v>
      </c>
      <c r="H231">
        <f>$W$18+$W$19*Table2[[#This Row],[DecDate]]+$W$20*Table2[[#This Row],[DecDate2]]</f>
        <v>7.1464485864491394</v>
      </c>
      <c r="I231">
        <f>Table2[[#This Row],[Log Expenditure]]-Table2[[#This Row],[Quadratic Trend]]</f>
        <v>1.0507778166497062E-2</v>
      </c>
      <c r="J231">
        <f t="shared" si="3"/>
        <v>-1.3012475343407281E-2</v>
      </c>
    </row>
    <row r="232" spans="1:10" x14ac:dyDescent="0.3">
      <c r="A232">
        <v>2007</v>
      </c>
      <c r="B232">
        <v>3</v>
      </c>
      <c r="C232" s="1">
        <f>DATE(Table2[[#This Row],[Year]],(Table2[[#This Row],[Quarter]]-1)*3+2,15)</f>
        <v>39309</v>
      </c>
      <c r="D232">
        <f>Table2[[#This Row],[Year]]+1/8+(Table2[[#This Row],[Quarter]]-1)/4</f>
        <v>2007.625</v>
      </c>
      <c r="E232">
        <f>Table2[[#This Row],[DecDate]]^2</f>
        <v>4030558.140625</v>
      </c>
      <c r="F232">
        <v>1215</v>
      </c>
      <c r="G232">
        <f>LN(Table2[[#This Row],[Expenditure]])</f>
        <v>7.1024993557746487</v>
      </c>
      <c r="H232">
        <f>$W$18+$W$19*Table2[[#This Row],[DecDate]]+$W$20*Table2[[#This Row],[DecDate2]]</f>
        <v>7.1473143795134888</v>
      </c>
      <c r="I232">
        <f>Table2[[#This Row],[Log Expenditure]]-Table2[[#This Row],[Quadratic Trend]]</f>
        <v>-4.4815023738840054E-2</v>
      </c>
      <c r="J232">
        <f t="shared" si="3"/>
        <v>-9.7478594972342236E-3</v>
      </c>
    </row>
    <row r="233" spans="1:10" x14ac:dyDescent="0.3">
      <c r="A233">
        <v>2007</v>
      </c>
      <c r="B233">
        <v>4</v>
      </c>
      <c r="C233" s="1">
        <f>DATE(Table2[[#This Row],[Year]],(Table2[[#This Row],[Quarter]]-1)*3+2,15)</f>
        <v>39401</v>
      </c>
      <c r="D233">
        <f>Table2[[#This Row],[Year]]+1/8+(Table2[[#This Row],[Quarter]]-1)/4</f>
        <v>2007.875</v>
      </c>
      <c r="E233">
        <f>Table2[[#This Row],[DecDate]]^2</f>
        <v>4031562.015625</v>
      </c>
      <c r="F233">
        <v>1246</v>
      </c>
      <c r="G233">
        <f>LN(Table2[[#This Row],[Expenditure]])</f>
        <v>7.1276936993473985</v>
      </c>
      <c r="H233">
        <f>$W$18+$W$19*Table2[[#This Row],[DecDate]]+$W$20*Table2[[#This Row],[DecDate2]]</f>
        <v>7.1481664564956304</v>
      </c>
      <c r="I233">
        <f>Table2[[#This Row],[Log Expenditure]]-Table2[[#This Row],[Quadratic Trend]]</f>
        <v>-2.0472757148231935E-2</v>
      </c>
      <c r="J233">
        <f t="shared" si="3"/>
        <v>-9.6624347627109579E-3</v>
      </c>
    </row>
    <row r="234" spans="1:10" x14ac:dyDescent="0.3">
      <c r="A234">
        <v>2008</v>
      </c>
      <c r="B234">
        <v>1</v>
      </c>
      <c r="C234" s="1">
        <f>DATE(Table2[[#This Row],[Year]],(Table2[[#This Row],[Quarter]]-1)*3+2,15)</f>
        <v>39493</v>
      </c>
      <c r="D234">
        <f>Table2[[#This Row],[Year]]+1/8+(Table2[[#This Row],[Quarter]]-1)/4</f>
        <v>2008.125</v>
      </c>
      <c r="E234">
        <f>Table2[[#This Row],[DecDate]]^2</f>
        <v>4032566.015625</v>
      </c>
      <c r="F234">
        <v>1272</v>
      </c>
      <c r="G234">
        <f>LN(Table2[[#This Row],[Expenditure]])</f>
        <v>7.1483457439000677</v>
      </c>
      <c r="H234">
        <f>$W$18+$W$19*Table2[[#This Row],[DecDate]]+$W$20*Table2[[#This Row],[DecDate2]]</f>
        <v>7.1490048173955643</v>
      </c>
      <c r="I234">
        <f>Table2[[#This Row],[Log Expenditure]]-Table2[[#This Row],[Quadratic Trend]]</f>
        <v>-6.5907349549654271E-4</v>
      </c>
      <c r="J234">
        <f t="shared" si="3"/>
        <v>-2.0898978931746727E-2</v>
      </c>
    </row>
    <row r="235" spans="1:10" x14ac:dyDescent="0.3">
      <c r="A235">
        <v>2008</v>
      </c>
      <c r="B235">
        <v>2</v>
      </c>
      <c r="C235" s="1">
        <f>DATE(Table2[[#This Row],[Year]],(Table2[[#This Row],[Quarter]]-1)*3+2,15)</f>
        <v>39583</v>
      </c>
      <c r="D235">
        <f>Table2[[#This Row],[Year]]+1/8+(Table2[[#This Row],[Quarter]]-1)/4</f>
        <v>2008.375</v>
      </c>
      <c r="E235">
        <f>Table2[[#This Row],[DecDate]]^2</f>
        <v>4033570.140625</v>
      </c>
      <c r="F235">
        <v>1283</v>
      </c>
      <c r="G235">
        <f>LN(Table2[[#This Row],[Expenditure]])</f>
        <v>7.1569563646156364</v>
      </c>
      <c r="H235">
        <f>$W$18+$W$19*Table2[[#This Row],[DecDate]]+$W$20*Table2[[#This Row],[DecDate2]]</f>
        <v>7.1498294622131198</v>
      </c>
      <c r="I235">
        <f>Table2[[#This Row],[Log Expenditure]]-Table2[[#This Row],[Quadratic Trend]]</f>
        <v>7.1269024025166772E-3</v>
      </c>
      <c r="J235">
        <f t="shared" si="3"/>
        <v>-1.781151857849448E-2</v>
      </c>
    </row>
    <row r="236" spans="1:10" x14ac:dyDescent="0.3">
      <c r="A236">
        <v>2008</v>
      </c>
      <c r="B236">
        <v>3</v>
      </c>
      <c r="C236" s="1">
        <f>DATE(Table2[[#This Row],[Year]],(Table2[[#This Row],[Quarter]]-1)*3+2,15)</f>
        <v>39675</v>
      </c>
      <c r="D236">
        <f>Table2[[#This Row],[Year]]+1/8+(Table2[[#This Row],[Quarter]]-1)/4</f>
        <v>2008.625</v>
      </c>
      <c r="E236">
        <f>Table2[[#This Row],[DecDate]]^2</f>
        <v>4034574.390625</v>
      </c>
      <c r="F236">
        <v>1218</v>
      </c>
      <c r="G236">
        <f>LN(Table2[[#This Row],[Expenditure]])</f>
        <v>7.1049654482698426</v>
      </c>
      <c r="H236">
        <f>$W$18+$W$19*Table2[[#This Row],[DecDate]]+$W$20*Table2[[#This Row],[DecDate2]]</f>
        <v>7.1506403909485243</v>
      </c>
      <c r="I236">
        <f>Table2[[#This Row],[Log Expenditure]]-Table2[[#This Row],[Quadratic Trend]]</f>
        <v>-4.5674942678681774E-2</v>
      </c>
      <c r="J236">
        <f t="shared" si="3"/>
        <v>-1.2302806223865837E-2</v>
      </c>
    </row>
    <row r="237" spans="1:10" x14ac:dyDescent="0.3">
      <c r="A237">
        <v>2008</v>
      </c>
      <c r="B237">
        <v>4</v>
      </c>
      <c r="C237" s="1">
        <f>DATE(Table2[[#This Row],[Year]],(Table2[[#This Row],[Quarter]]-1)*3+2,15)</f>
        <v>39767</v>
      </c>
      <c r="D237">
        <f>Table2[[#This Row],[Year]]+1/8+(Table2[[#This Row],[Quarter]]-1)/4</f>
        <v>2008.875</v>
      </c>
      <c r="E237">
        <f>Table2[[#This Row],[DecDate]]^2</f>
        <v>4035578.765625</v>
      </c>
      <c r="F237">
        <v>1239</v>
      </c>
      <c r="G237">
        <f>LN(Table2[[#This Row],[Expenditure]])</f>
        <v>7.1220598816291423</v>
      </c>
      <c r="H237">
        <f>$W$18+$W$19*Table2[[#This Row],[DecDate]]+$W$20*Table2[[#This Row],[DecDate2]]</f>
        <v>7.1514376036017211</v>
      </c>
      <c r="I237">
        <f>Table2[[#This Row],[Log Expenditure]]-Table2[[#This Row],[Quadratic Trend]]</f>
        <v>-2.9377721972578819E-2</v>
      </c>
      <c r="J237">
        <f t="shared" si="3"/>
        <v>-9.8250919026478204E-3</v>
      </c>
    </row>
    <row r="238" spans="1:10" x14ac:dyDescent="0.3">
      <c r="A238">
        <v>2009</v>
      </c>
      <c r="B238">
        <v>1</v>
      </c>
      <c r="C238" s="1">
        <f>DATE(Table2[[#This Row],[Year]],(Table2[[#This Row],[Quarter]]-1)*3+2,15)</f>
        <v>39859</v>
      </c>
      <c r="D238">
        <f>Table2[[#This Row],[Year]]+1/8+(Table2[[#This Row],[Quarter]]-1)/4</f>
        <v>2009.125</v>
      </c>
      <c r="E238">
        <f>Table2[[#This Row],[DecDate]]^2</f>
        <v>4036583.265625</v>
      </c>
      <c r="F238">
        <v>1286</v>
      </c>
      <c r="G238">
        <f>LN(Table2[[#This Row],[Expenditure]])</f>
        <v>7.1592919047975645</v>
      </c>
      <c r="H238">
        <f>$W$18+$W$19*Table2[[#This Row],[DecDate]]+$W$20*Table2[[#This Row],[DecDate2]]</f>
        <v>7.1522211001726532</v>
      </c>
      <c r="I238">
        <f>Table2[[#This Row],[Log Expenditure]]-Table2[[#This Row],[Quadratic Trend]]</f>
        <v>7.0708046249112755E-3</v>
      </c>
      <c r="J238">
        <f t="shared" si="3"/>
        <v>-1.8072733793168715E-2</v>
      </c>
    </row>
    <row r="239" spans="1:10" x14ac:dyDescent="0.3">
      <c r="A239">
        <v>2009</v>
      </c>
      <c r="B239">
        <v>2</v>
      </c>
      <c r="C239" s="1">
        <f>DATE(Table2[[#This Row],[Year]],(Table2[[#This Row],[Quarter]]-1)*3+2,15)</f>
        <v>39948</v>
      </c>
      <c r="D239">
        <f>Table2[[#This Row],[Year]]+1/8+(Table2[[#This Row],[Quarter]]-1)/4</f>
        <v>2009.375</v>
      </c>
      <c r="E239">
        <f>Table2[[#This Row],[DecDate]]^2</f>
        <v>4037587.890625</v>
      </c>
      <c r="F239">
        <v>1293</v>
      </c>
      <c r="G239">
        <f>LN(Table2[[#This Row],[Expenditure]])</f>
        <v>7.1647203787718574</v>
      </c>
      <c r="H239">
        <f>$W$18+$W$19*Table2[[#This Row],[DecDate]]+$W$20*Table2[[#This Row],[DecDate2]]</f>
        <v>7.1529908806612639</v>
      </c>
      <c r="I239">
        <f>Table2[[#This Row],[Log Expenditure]]-Table2[[#This Row],[Quadratic Trend]]</f>
        <v>1.1729498110593539E-2</v>
      </c>
      <c r="J239">
        <f t="shared" si="3"/>
        <v>-1.2220997126958011E-2</v>
      </c>
    </row>
    <row r="240" spans="1:10" x14ac:dyDescent="0.3">
      <c r="A240">
        <v>2009</v>
      </c>
      <c r="B240">
        <v>3</v>
      </c>
      <c r="C240" s="1">
        <f>DATE(Table2[[#This Row],[Year]],(Table2[[#This Row],[Quarter]]-1)*3+2,15)</f>
        <v>40040</v>
      </c>
      <c r="D240">
        <f>Table2[[#This Row],[Year]]+1/8+(Table2[[#This Row],[Quarter]]-1)/4</f>
        <v>2009.625</v>
      </c>
      <c r="E240">
        <f>Table2[[#This Row],[DecDate]]^2</f>
        <v>4038592.640625</v>
      </c>
      <c r="F240">
        <v>1236</v>
      </c>
      <c r="G240">
        <f>LN(Table2[[#This Row],[Expenditure]])</f>
        <v>7.1196356380176358</v>
      </c>
      <c r="H240">
        <f>$W$18+$W$19*Table2[[#This Row],[DecDate]]+$W$20*Table2[[#This Row],[DecDate2]]</f>
        <v>7.1537469450677236</v>
      </c>
      <c r="I240">
        <f>Table2[[#This Row],[Log Expenditure]]-Table2[[#This Row],[Quadratic Trend]]</f>
        <v>-3.4111307050087802E-2</v>
      </c>
      <c r="J240">
        <f t="shared" si="3"/>
        <v>-6.6222775434662037E-3</v>
      </c>
    </row>
    <row r="241" spans="1:10" x14ac:dyDescent="0.3">
      <c r="A241">
        <v>2009</v>
      </c>
      <c r="B241">
        <v>4</v>
      </c>
      <c r="C241" s="1">
        <f>DATE(Table2[[#This Row],[Year]],(Table2[[#This Row],[Quarter]]-1)*3+2,15)</f>
        <v>40132</v>
      </c>
      <c r="D241">
        <f>Table2[[#This Row],[Year]]+1/8+(Table2[[#This Row],[Quarter]]-1)/4</f>
        <v>2009.875</v>
      </c>
      <c r="E241">
        <f>Table2[[#This Row],[DecDate]]^2</f>
        <v>4039597.515625</v>
      </c>
      <c r="F241">
        <v>1259</v>
      </c>
      <c r="G241">
        <f>LN(Table2[[#This Row],[Expenditure]])</f>
        <v>7.1380730340443472</v>
      </c>
      <c r="H241">
        <f>$W$18+$W$19*Table2[[#This Row],[DecDate]]+$W$20*Table2[[#This Row],[DecDate2]]</f>
        <v>7.1544892933919755</v>
      </c>
      <c r="I241">
        <f>Table2[[#This Row],[Log Expenditure]]-Table2[[#This Row],[Quadratic Trend]]</f>
        <v>-1.6416259347628248E-2</v>
      </c>
      <c r="J241">
        <f t="shared" si="3"/>
        <v>-5.9698120004352262E-3</v>
      </c>
    </row>
    <row r="242" spans="1:10" x14ac:dyDescent="0.3">
      <c r="A242">
        <v>2010</v>
      </c>
      <c r="B242">
        <v>1</v>
      </c>
      <c r="C242" s="1">
        <f>DATE(Table2[[#This Row],[Year]],(Table2[[#This Row],[Quarter]]-1)*3+2,15)</f>
        <v>40224</v>
      </c>
      <c r="D242">
        <f>Table2[[#This Row],[Year]]+1/8+(Table2[[#This Row],[Quarter]]-1)/4</f>
        <v>2010.125</v>
      </c>
      <c r="E242">
        <f>Table2[[#This Row],[DecDate]]^2</f>
        <v>4040602.515625</v>
      </c>
      <c r="F242">
        <v>1279</v>
      </c>
      <c r="G242">
        <f>LN(Table2[[#This Row],[Expenditure]])</f>
        <v>7.153833801578843</v>
      </c>
      <c r="H242">
        <f>$W$18+$W$19*Table2[[#This Row],[DecDate]]+$W$20*Table2[[#This Row],[DecDate2]]</f>
        <v>7.1552179256339627</v>
      </c>
      <c r="I242">
        <f>Table2[[#This Row],[Log Expenditure]]-Table2[[#This Row],[Quadratic Trend]]</f>
        <v>-1.3841240551197842E-3</v>
      </c>
      <c r="J242">
        <f t="shared" si="3"/>
        <v>-1.7177031054588988E-2</v>
      </c>
    </row>
    <row r="243" spans="1:10" x14ac:dyDescent="0.3">
      <c r="A243">
        <v>2010</v>
      </c>
      <c r="B243">
        <v>2</v>
      </c>
      <c r="C243" s="1">
        <f>DATE(Table2[[#This Row],[Year]],(Table2[[#This Row],[Quarter]]-1)*3+2,15)</f>
        <v>40313</v>
      </c>
      <c r="D243">
        <f>Table2[[#This Row],[Year]]+1/8+(Table2[[#This Row],[Quarter]]-1)/4</f>
        <v>2010.375</v>
      </c>
      <c r="E243">
        <f>Table2[[#This Row],[DecDate]]^2</f>
        <v>4041607.640625</v>
      </c>
      <c r="F243">
        <v>1295</v>
      </c>
      <c r="G243">
        <f>LN(Table2[[#This Row],[Expenditure]])</f>
        <v>7.1662659741336379</v>
      </c>
      <c r="H243">
        <f>$W$18+$W$19*Table2[[#This Row],[DecDate]]+$W$20*Table2[[#This Row],[DecDate2]]</f>
        <v>7.1559328417935717</v>
      </c>
      <c r="I243">
        <f>Table2[[#This Row],[Log Expenditure]]-Table2[[#This Row],[Quadratic Trend]]</f>
        <v>1.0333132340066165E-2</v>
      </c>
      <c r="J243">
        <f t="shared" si="3"/>
        <v>-1.2937638753611046E-2</v>
      </c>
    </row>
    <row r="244" spans="1:10" x14ac:dyDescent="0.3">
      <c r="A244">
        <v>2010</v>
      </c>
      <c r="B244">
        <v>3</v>
      </c>
      <c r="C244" s="1">
        <f>DATE(Table2[[#This Row],[Year]],(Table2[[#This Row],[Quarter]]-1)*3+2,15)</f>
        <v>40405</v>
      </c>
      <c r="D244">
        <f>Table2[[#This Row],[Year]]+1/8+(Table2[[#This Row],[Quarter]]-1)/4</f>
        <v>2010.625</v>
      </c>
      <c r="E244">
        <f>Table2[[#This Row],[DecDate]]^2</f>
        <v>4042612.890625</v>
      </c>
      <c r="F244">
        <v>1227</v>
      </c>
      <c r="G244">
        <f>LN(Table2[[#This Row],[Expenditure]])</f>
        <v>7.1123274447109113</v>
      </c>
      <c r="H244">
        <f>$W$18+$W$19*Table2[[#This Row],[DecDate]]+$W$20*Table2[[#This Row],[DecDate2]]</f>
        <v>7.1566340418710865</v>
      </c>
      <c r="I244">
        <f>Table2[[#This Row],[Log Expenditure]]-Table2[[#This Row],[Quadratic Trend]]</f>
        <v>-4.4306597160175265E-2</v>
      </c>
      <c r="J244">
        <f t="shared" si="3"/>
        <v>-8.4641087714290471E-3</v>
      </c>
    </row>
    <row r="245" spans="1:10" x14ac:dyDescent="0.3">
      <c r="A245">
        <v>2010</v>
      </c>
      <c r="B245">
        <v>4</v>
      </c>
      <c r="C245" s="1">
        <f>DATE(Table2[[#This Row],[Year]],(Table2[[#This Row],[Quarter]]-1)*3+2,15)</f>
        <v>40497</v>
      </c>
      <c r="D245">
        <f>Table2[[#This Row],[Year]]+1/8+(Table2[[#This Row],[Quarter]]-1)/4</f>
        <v>2010.875</v>
      </c>
      <c r="E245">
        <f>Table2[[#This Row],[DecDate]]^2</f>
        <v>4043618.265625</v>
      </c>
      <c r="F245">
        <v>1267</v>
      </c>
      <c r="G245">
        <f>LN(Table2[[#This Row],[Expenditure]])</f>
        <v>7.1444071803211386</v>
      </c>
      <c r="H245">
        <f>$W$18+$W$19*Table2[[#This Row],[DecDate]]+$W$20*Table2[[#This Row],[DecDate2]]</f>
        <v>7.1573215258663367</v>
      </c>
      <c r="I245">
        <f>Table2[[#This Row],[Log Expenditure]]-Table2[[#This Row],[Quadratic Trend]]</f>
        <v>-1.2914345545198103E-2</v>
      </c>
      <c r="J245">
        <f t="shared" si="3"/>
        <v>-7.1290162139042938E-3</v>
      </c>
    </row>
    <row r="246" spans="1:10" x14ac:dyDescent="0.3">
      <c r="A246">
        <v>2011</v>
      </c>
      <c r="B246">
        <v>1</v>
      </c>
      <c r="C246" s="1">
        <f>DATE(Table2[[#This Row],[Year]],(Table2[[#This Row],[Quarter]]-1)*3+2,15)</f>
        <v>40589</v>
      </c>
      <c r="D246">
        <f>Table2[[#This Row],[Year]]+1/8+(Table2[[#This Row],[Quarter]]-1)/4</f>
        <v>2011.125</v>
      </c>
      <c r="E246">
        <f>Table2[[#This Row],[DecDate]]^2</f>
        <v>4044623.765625</v>
      </c>
      <c r="F246">
        <v>1292</v>
      </c>
      <c r="G246">
        <f>LN(Table2[[#This Row],[Expenditure]])</f>
        <v>7.1639466843425472</v>
      </c>
      <c r="H246">
        <f>$W$18+$W$19*Table2[[#This Row],[DecDate]]+$W$20*Table2[[#This Row],[DecDate2]]</f>
        <v>7.1579952937792655</v>
      </c>
      <c r="I246">
        <f>Table2[[#This Row],[Log Expenditure]]-Table2[[#This Row],[Quadratic Trend]]</f>
        <v>5.9513905632817554E-3</v>
      </c>
      <c r="J246">
        <f t="shared" si="3"/>
        <v>-1.8916754357874765E-2</v>
      </c>
    </row>
    <row r="247" spans="1:10" x14ac:dyDescent="0.3">
      <c r="A247">
        <v>2011</v>
      </c>
      <c r="B247">
        <v>2</v>
      </c>
      <c r="C247" s="1">
        <f>DATE(Table2[[#This Row],[Year]],(Table2[[#This Row],[Quarter]]-1)*3+2,15)</f>
        <v>40678</v>
      </c>
      <c r="D247">
        <f>Table2[[#This Row],[Year]]+1/8+(Table2[[#This Row],[Quarter]]-1)/4</f>
        <v>2011.375</v>
      </c>
      <c r="E247">
        <f>Table2[[#This Row],[DecDate]]^2</f>
        <v>4045629.390625</v>
      </c>
      <c r="F247">
        <v>1292</v>
      </c>
      <c r="G247">
        <f>LN(Table2[[#This Row],[Expenditure]])</f>
        <v>7.1639466843425472</v>
      </c>
      <c r="H247">
        <f>$W$18+$W$19*Table2[[#This Row],[DecDate]]+$W$20*Table2[[#This Row],[DecDate2]]</f>
        <v>7.1586553456100432</v>
      </c>
      <c r="I247">
        <f>Table2[[#This Row],[Log Expenditure]]-Table2[[#This Row],[Quadratic Trend]]</f>
        <v>5.2913387325039807E-3</v>
      </c>
      <c r="J247">
        <f t="shared" si="3"/>
        <v>-1.5064124817646629E-2</v>
      </c>
    </row>
    <row r="248" spans="1:10" x14ac:dyDescent="0.3">
      <c r="A248">
        <v>2011</v>
      </c>
      <c r="B248">
        <v>3</v>
      </c>
      <c r="C248" s="1">
        <f>DATE(Table2[[#This Row],[Year]],(Table2[[#This Row],[Quarter]]-1)*3+2,15)</f>
        <v>40770</v>
      </c>
      <c r="D248">
        <f>Table2[[#This Row],[Year]]+1/8+(Table2[[#This Row],[Quarter]]-1)/4</f>
        <v>2011.625</v>
      </c>
      <c r="E248">
        <f>Table2[[#This Row],[DecDate]]^2</f>
        <v>4046635.140625</v>
      </c>
      <c r="F248">
        <v>1225</v>
      </c>
      <c r="G248">
        <f>LN(Table2[[#This Row],[Expenditure]])</f>
        <v>7.110696122978827</v>
      </c>
      <c r="H248">
        <f>$W$18+$W$19*Table2[[#This Row],[DecDate]]+$W$20*Table2[[#This Row],[DecDate2]]</f>
        <v>7.1593016813586132</v>
      </c>
      <c r="I248">
        <f>Table2[[#This Row],[Log Expenditure]]-Table2[[#This Row],[Quadratic Trend]]</f>
        <v>-4.8605558379786196E-2</v>
      </c>
      <c r="J248">
        <f t="shared" si="3"/>
        <v>-1.1030059767087329E-2</v>
      </c>
    </row>
    <row r="249" spans="1:10" x14ac:dyDescent="0.3">
      <c r="A249">
        <v>2011</v>
      </c>
      <c r="B249">
        <v>4</v>
      </c>
      <c r="C249" s="1">
        <f>DATE(Table2[[#This Row],[Year]],(Table2[[#This Row],[Quarter]]-1)*3+2,15)</f>
        <v>40862</v>
      </c>
      <c r="D249">
        <f>Table2[[#This Row],[Year]]+1/8+(Table2[[#This Row],[Quarter]]-1)/4</f>
        <v>2011.875</v>
      </c>
      <c r="E249">
        <f>Table2[[#This Row],[DecDate]]^2</f>
        <v>4047641.015625</v>
      </c>
      <c r="F249">
        <v>1255</v>
      </c>
      <c r="G249">
        <f>LN(Table2[[#This Row],[Expenditure]])</f>
        <v>7.134890851565884</v>
      </c>
      <c r="H249">
        <f>$W$18+$W$19*Table2[[#This Row],[DecDate]]+$W$20*Table2[[#This Row],[DecDate2]]</f>
        <v>7.1599343010249186</v>
      </c>
      <c r="I249">
        <f>Table2[[#This Row],[Log Expenditure]]-Table2[[#This Row],[Quadratic Trend]]</f>
        <v>-2.5043449459034584E-2</v>
      </c>
      <c r="J249">
        <f t="shared" si="3"/>
        <v>-9.2011098984505317E-3</v>
      </c>
    </row>
    <row r="250" spans="1:10" x14ac:dyDescent="0.3">
      <c r="A250">
        <v>2012</v>
      </c>
      <c r="B250">
        <v>1</v>
      </c>
      <c r="C250" s="1">
        <f>DATE(Table2[[#This Row],[Year]],(Table2[[#This Row],[Quarter]]-1)*3+2,15)</f>
        <v>40954</v>
      </c>
      <c r="D250">
        <f>Table2[[#This Row],[Year]]+1/8+(Table2[[#This Row],[Quarter]]-1)/4</f>
        <v>2012.125</v>
      </c>
      <c r="E250">
        <f>Table2[[#This Row],[DecDate]]^2</f>
        <v>4048647.015625</v>
      </c>
      <c r="F250">
        <v>1297</v>
      </c>
      <c r="G250">
        <f>LN(Table2[[#This Row],[Expenditure]])</f>
        <v>7.167809184316444</v>
      </c>
      <c r="H250">
        <f>$W$18+$W$19*Table2[[#This Row],[DecDate]]+$W$20*Table2[[#This Row],[DecDate2]]</f>
        <v>7.1605532046088456</v>
      </c>
      <c r="I250">
        <f>Table2[[#This Row],[Log Expenditure]]-Table2[[#This Row],[Quadratic Trend]]</f>
        <v>7.2559797075983923E-3</v>
      </c>
      <c r="J250">
        <f t="shared" si="3"/>
        <v>-1.787479331009063E-2</v>
      </c>
    </row>
    <row r="251" spans="1:10" x14ac:dyDescent="0.3">
      <c r="A251">
        <v>2012</v>
      </c>
      <c r="B251">
        <v>2</v>
      </c>
      <c r="C251" s="1">
        <f>DATE(Table2[[#This Row],[Year]],(Table2[[#This Row],[Quarter]]-1)*3+2,15)</f>
        <v>41044</v>
      </c>
      <c r="D251">
        <f>Table2[[#This Row],[Year]]+1/8+(Table2[[#This Row],[Quarter]]-1)/4</f>
        <v>2012.375</v>
      </c>
      <c r="E251">
        <f>Table2[[#This Row],[DecDate]]^2</f>
        <v>4049653.140625</v>
      </c>
      <c r="F251">
        <v>1308</v>
      </c>
      <c r="G251">
        <f>LN(Table2[[#This Row],[Expenditure]])</f>
        <v>7.1762545320171442</v>
      </c>
      <c r="H251">
        <f>$W$18+$W$19*Table2[[#This Row],[DecDate]]+$W$20*Table2[[#This Row],[DecDate2]]</f>
        <v>7.1611583921106785</v>
      </c>
      <c r="I251">
        <f>Table2[[#This Row],[Log Expenditure]]-Table2[[#This Row],[Quadratic Trend]]</f>
        <v>1.5096139906465744E-2</v>
      </c>
      <c r="J251">
        <f t="shared" si="3"/>
        <v>-1.0950056627641303E-2</v>
      </c>
    </row>
    <row r="252" spans="1:10" x14ac:dyDescent="0.3">
      <c r="A252">
        <v>2012</v>
      </c>
      <c r="B252">
        <v>3</v>
      </c>
      <c r="C252" s="1">
        <f>DATE(Table2[[#This Row],[Year]],(Table2[[#This Row],[Quarter]]-1)*3+2,15)</f>
        <v>41136</v>
      </c>
      <c r="D252">
        <f>Table2[[#This Row],[Year]]+1/8+(Table2[[#This Row],[Quarter]]-1)/4</f>
        <v>2012.625</v>
      </c>
      <c r="E252">
        <f>Table2[[#This Row],[DecDate]]^2</f>
        <v>4050659.390625</v>
      </c>
      <c r="F252">
        <v>1241</v>
      </c>
      <c r="G252">
        <f>LN(Table2[[#This Row],[Expenditure]])</f>
        <v>7.1236727852046071</v>
      </c>
      <c r="H252">
        <f>$W$18+$W$19*Table2[[#This Row],[DecDate]]+$W$20*Table2[[#This Row],[DecDate2]]</f>
        <v>7.1617498635303036</v>
      </c>
      <c r="I252">
        <f>Table2[[#This Row],[Log Expenditure]]-Table2[[#This Row],[Quadratic Trend]]</f>
        <v>-3.8077078325696512E-2</v>
      </c>
      <c r="J252">
        <f t="shared" si="3"/>
        <v>-3.7280344090047991E-3</v>
      </c>
    </row>
    <row r="253" spans="1:10" x14ac:dyDescent="0.3">
      <c r="A253">
        <v>2012</v>
      </c>
      <c r="B253">
        <v>4</v>
      </c>
      <c r="C253" s="1">
        <f>DATE(Table2[[#This Row],[Year]],(Table2[[#This Row],[Quarter]]-1)*3+2,15)</f>
        <v>41228</v>
      </c>
      <c r="D253">
        <f>Table2[[#This Row],[Year]]+1/8+(Table2[[#This Row],[Quarter]]-1)/4</f>
        <v>2012.875</v>
      </c>
      <c r="E253">
        <f>Table2[[#This Row],[DecDate]]^2</f>
        <v>4051665.765625</v>
      </c>
      <c r="F253">
        <v>1272</v>
      </c>
      <c r="G253">
        <f>LN(Table2[[#This Row],[Expenditure]])</f>
        <v>7.1483457439000677</v>
      </c>
      <c r="H253">
        <f>$W$18+$W$19*Table2[[#This Row],[DecDate]]+$W$20*Table2[[#This Row],[DecDate2]]</f>
        <v>7.1623276188676073</v>
      </c>
      <c r="I253">
        <f>Table2[[#This Row],[Log Expenditure]]-Table2[[#This Row],[Quadratic Trend]]</f>
        <v>-1.3981874967539554E-2</v>
      </c>
      <c r="J253">
        <f t="shared" si="3"/>
        <v>-1.3972042325674395E-3</v>
      </c>
    </row>
    <row r="254" spans="1:10" x14ac:dyDescent="0.3">
      <c r="A254">
        <v>2013</v>
      </c>
      <c r="B254">
        <v>1</v>
      </c>
      <c r="C254" s="1">
        <f>DATE(Table2[[#This Row],[Year]],(Table2[[#This Row],[Quarter]]-1)*3+2,15)</f>
        <v>41320</v>
      </c>
      <c r="D254">
        <f>Table2[[#This Row],[Year]]+1/8+(Table2[[#This Row],[Quarter]]-1)/4</f>
        <v>2013.125</v>
      </c>
      <c r="E254">
        <f>Table2[[#This Row],[DecDate]]^2</f>
        <v>4052672.265625</v>
      </c>
      <c r="F254">
        <v>1305</v>
      </c>
      <c r="G254">
        <f>LN(Table2[[#This Row],[Expenditure]])</f>
        <v>7.1739583197567942</v>
      </c>
      <c r="H254">
        <f>$W$18+$W$19*Table2[[#This Row],[DecDate]]+$W$20*Table2[[#This Row],[DecDate2]]</f>
        <v>7.1628916581226463</v>
      </c>
      <c r="I254">
        <f>Table2[[#This Row],[Log Expenditure]]-Table2[[#This Row],[Quadratic Trend]]</f>
        <v>1.1066661634147934E-2</v>
      </c>
      <c r="J254">
        <f t="shared" si="3"/>
        <v>-1.0074680485463361E-2</v>
      </c>
    </row>
    <row r="255" spans="1:10" x14ac:dyDescent="0.3">
      <c r="A255">
        <v>2013</v>
      </c>
      <c r="B255">
        <v>2</v>
      </c>
      <c r="C255" s="1">
        <f>DATE(Table2[[#This Row],[Year]],(Table2[[#This Row],[Quarter]]-1)*3+2,15)</f>
        <v>41409</v>
      </c>
      <c r="D255">
        <f>Table2[[#This Row],[Year]]+1/8+(Table2[[#This Row],[Quarter]]-1)/4</f>
        <v>2013.375</v>
      </c>
      <c r="E255">
        <f>Table2[[#This Row],[DecDate]]^2</f>
        <v>4053678.890625</v>
      </c>
      <c r="F255">
        <v>1316</v>
      </c>
      <c r="G255">
        <f>LN(Table2[[#This Row],[Expenditure]])</f>
        <v>7.1823521118852627</v>
      </c>
      <c r="H255">
        <f>$W$18+$W$19*Table2[[#This Row],[DecDate]]+$W$20*Table2[[#This Row],[DecDate2]]</f>
        <v>7.1634419812954775</v>
      </c>
      <c r="I255">
        <f>Table2[[#This Row],[Log Expenditure]]-Table2[[#This Row],[Quadratic Trend]]</f>
        <v>1.891013058978519E-2</v>
      </c>
      <c r="J255">
        <f t="shared" si="3"/>
        <v>-2.2608656870355404E-3</v>
      </c>
    </row>
    <row r="256" spans="1:10" x14ac:dyDescent="0.3">
      <c r="A256">
        <v>2013</v>
      </c>
      <c r="B256">
        <v>3</v>
      </c>
      <c r="C256" s="1">
        <f>DATE(Table2[[#This Row],[Year]],(Table2[[#This Row],[Quarter]]-1)*3+2,15)</f>
        <v>41501</v>
      </c>
      <c r="D256">
        <f>Table2[[#This Row],[Year]]+1/8+(Table2[[#This Row],[Quarter]]-1)/4</f>
        <v>2013.625</v>
      </c>
      <c r="E256">
        <f>Table2[[#This Row],[DecDate]]^2</f>
        <v>4054685.640625</v>
      </c>
      <c r="F256">
        <v>1256</v>
      </c>
      <c r="G256">
        <f>LN(Table2[[#This Row],[Expenditure]])</f>
        <v>7.1356873470281439</v>
      </c>
      <c r="H256">
        <f>$W$18+$W$19*Table2[[#This Row],[DecDate]]+$W$20*Table2[[#This Row],[DecDate2]]</f>
        <v>7.1639785883861578</v>
      </c>
      <c r="I256">
        <f>Table2[[#This Row],[Log Expenditure]]-Table2[[#This Row],[Quadratic Trend]]</f>
        <v>-2.8291241358013863E-2</v>
      </c>
      <c r="J256">
        <f t="shared" si="3"/>
        <v>5.9697901850107368E-3</v>
      </c>
    </row>
    <row r="257" spans="1:10" x14ac:dyDescent="0.3">
      <c r="A257">
        <v>2013</v>
      </c>
      <c r="B257">
        <v>4</v>
      </c>
      <c r="C257" s="1">
        <f>DATE(Table2[[#This Row],[Year]],(Table2[[#This Row],[Quarter]]-1)*3+2,15)</f>
        <v>41593</v>
      </c>
      <c r="D257">
        <f>Table2[[#This Row],[Year]]+1/8+(Table2[[#This Row],[Quarter]]-1)/4</f>
        <v>2013.875</v>
      </c>
      <c r="E257">
        <f>Table2[[#This Row],[DecDate]]^2</f>
        <v>4055692.515625</v>
      </c>
      <c r="F257">
        <v>1294</v>
      </c>
      <c r="G257">
        <f>LN(Table2[[#This Row],[Expenditure]])</f>
        <v>7.1654934750608454</v>
      </c>
      <c r="H257">
        <f>$W$18+$W$19*Table2[[#This Row],[DecDate]]+$W$20*Table2[[#This Row],[DecDate2]]</f>
        <v>7.1645014793944028</v>
      </c>
      <c r="I257">
        <f>Table2[[#This Row],[Log Expenditure]]-Table2[[#This Row],[Quadratic Trend]]</f>
        <v>9.9199566644259107E-4</v>
      </c>
      <c r="J257">
        <f t="shared" si="3"/>
        <v>9.2420794684416659E-3</v>
      </c>
    </row>
    <row r="258" spans="1:10" x14ac:dyDescent="0.3">
      <c r="A258">
        <v>2014</v>
      </c>
      <c r="B258">
        <v>1</v>
      </c>
      <c r="C258" s="1">
        <f>DATE(Table2[[#This Row],[Year]],(Table2[[#This Row],[Quarter]]-1)*3+2,15)</f>
        <v>41685</v>
      </c>
      <c r="D258">
        <f>Table2[[#This Row],[Year]]+1/8+(Table2[[#This Row],[Quarter]]-1)/4</f>
        <v>2014.125</v>
      </c>
      <c r="E258">
        <f>Table2[[#This Row],[DecDate]]^2</f>
        <v>4056699.515625</v>
      </c>
      <c r="F258">
        <v>1329</v>
      </c>
      <c r="G258">
        <f>LN(Table2[[#This Row],[Expenditure]])</f>
        <v>7.1921820587132457</v>
      </c>
      <c r="H258">
        <f>$W$18+$W$19*Table2[[#This Row],[DecDate]]+$W$20*Table2[[#This Row],[DecDate2]]</f>
        <v>7.1650106543205538</v>
      </c>
      <c r="I258">
        <f>Table2[[#This Row],[Log Expenditure]]-Table2[[#This Row],[Quadratic Trend]]</f>
        <v>2.7171404392691834E-2</v>
      </c>
      <c r="J258">
        <f t="shared" si="3"/>
        <v>1.774336403140353E-3</v>
      </c>
    </row>
    <row r="259" spans="1:10" x14ac:dyDescent="0.3">
      <c r="A259">
        <v>2014</v>
      </c>
      <c r="B259">
        <v>2</v>
      </c>
      <c r="C259" s="1">
        <f>DATE(Table2[[#This Row],[Year]],(Table2[[#This Row],[Quarter]]-1)*3+2,15)</f>
        <v>41774</v>
      </c>
      <c r="D259">
        <f>Table2[[#This Row],[Year]]+1/8+(Table2[[#This Row],[Quarter]]-1)/4</f>
        <v>2014.375</v>
      </c>
      <c r="E259">
        <f>Table2[[#This Row],[DecDate]]^2</f>
        <v>4057706.640625</v>
      </c>
      <c r="F259">
        <v>1330</v>
      </c>
      <c r="G259">
        <f>LN(Table2[[#This Row],[Expenditure]])</f>
        <v>7.1929342212157996</v>
      </c>
      <c r="H259">
        <f>$W$18+$W$19*Table2[[#This Row],[DecDate]]+$W$20*Table2[[#This Row],[DecDate2]]</f>
        <v>7.165506113164497</v>
      </c>
      <c r="I259">
        <f>Table2[[#This Row],[Log Expenditure]]-Table2[[#This Row],[Quadratic Trend]]</f>
        <v>2.742810805130258E-2</v>
      </c>
      <c r="J259">
        <f t="shared" si="3"/>
        <v>7.0854839080194409E-3</v>
      </c>
    </row>
    <row r="260" spans="1:10" x14ac:dyDescent="0.3">
      <c r="A260">
        <v>2014</v>
      </c>
      <c r="B260">
        <v>3</v>
      </c>
      <c r="C260" s="1">
        <f>DATE(Table2[[#This Row],[Year]],(Table2[[#This Row],[Quarter]]-1)*3+2,15)</f>
        <v>41866</v>
      </c>
      <c r="D260">
        <f>Table2[[#This Row],[Year]]+1/8+(Table2[[#This Row],[Quarter]]-1)/4</f>
        <v>2014.625</v>
      </c>
      <c r="E260">
        <f>Table2[[#This Row],[DecDate]]^2</f>
        <v>4058713.890625</v>
      </c>
      <c r="F260">
        <v>1271</v>
      </c>
      <c r="G260">
        <f>LN(Table2[[#This Row],[Expenditure]])</f>
        <v>7.1475592711894542</v>
      </c>
      <c r="H260">
        <f>$W$18+$W$19*Table2[[#This Row],[DecDate]]+$W$20*Table2[[#This Row],[DecDate2]]</f>
        <v>7.1659878559261756</v>
      </c>
      <c r="I260">
        <f>Table2[[#This Row],[Log Expenditure]]-Table2[[#This Row],[Quadratic Trend]]</f>
        <v>-1.8428584736721376E-2</v>
      </c>
      <c r="J260">
        <f t="shared" si="3"/>
        <v>1.1941457876843664E-2</v>
      </c>
    </row>
    <row r="261" spans="1:10" x14ac:dyDescent="0.3">
      <c r="A261">
        <v>2014</v>
      </c>
      <c r="B261">
        <v>4</v>
      </c>
      <c r="C261" s="1">
        <f>DATE(Table2[[#This Row],[Year]],(Table2[[#This Row],[Quarter]]-1)*3+2,15)</f>
        <v>41958</v>
      </c>
      <c r="D261">
        <f>Table2[[#This Row],[Year]]+1/8+(Table2[[#This Row],[Quarter]]-1)/4</f>
        <v>2014.875</v>
      </c>
      <c r="E261">
        <f>Table2[[#This Row],[DecDate]]^2</f>
        <v>4059721.265625</v>
      </c>
      <c r="F261">
        <v>1293</v>
      </c>
      <c r="G261">
        <f>LN(Table2[[#This Row],[Expenditure]])</f>
        <v>7.1647203787718574</v>
      </c>
      <c r="H261">
        <f>$W$18+$W$19*Table2[[#This Row],[DecDate]]+$W$20*Table2[[#This Row],[DecDate2]]</f>
        <v>7.1664558826054758</v>
      </c>
      <c r="I261">
        <f>Table2[[#This Row],[Log Expenditure]]-Table2[[#This Row],[Quadratic Trend]]</f>
        <v>-1.7355038336184236E-3</v>
      </c>
      <c r="J261">
        <f t="shared" ref="J261:J283" si="4">AVERAGE(I259:I263)</f>
        <v>1.2524090274098754E-2</v>
      </c>
    </row>
    <row r="262" spans="1:10" x14ac:dyDescent="0.3">
      <c r="A262">
        <v>2015</v>
      </c>
      <c r="B262">
        <v>1</v>
      </c>
      <c r="C262" s="1">
        <f>DATE(Table2[[#This Row],[Year]],(Table2[[#This Row],[Quarter]]-1)*3+2,15)</f>
        <v>42050</v>
      </c>
      <c r="D262">
        <f>Table2[[#This Row],[Year]]+1/8+(Table2[[#This Row],[Quarter]]-1)/4</f>
        <v>2015.125</v>
      </c>
      <c r="E262">
        <f>Table2[[#This Row],[DecDate]]^2</f>
        <v>4060728.765625</v>
      </c>
      <c r="F262">
        <v>1329</v>
      </c>
      <c r="G262">
        <f>LN(Table2[[#This Row],[Expenditure]])</f>
        <v>7.1921820587132457</v>
      </c>
      <c r="H262">
        <f>$W$18+$W$19*Table2[[#This Row],[DecDate]]+$W$20*Table2[[#This Row],[DecDate2]]</f>
        <v>7.166910193202682</v>
      </c>
      <c r="I262">
        <f>Table2[[#This Row],[Log Expenditure]]-Table2[[#This Row],[Quadratic Trend]]</f>
        <v>2.5271865510563707E-2</v>
      </c>
      <c r="J262">
        <f t="shared" si="4"/>
        <v>2.0484156660909745E-3</v>
      </c>
    </row>
    <row r="263" spans="1:10" x14ac:dyDescent="0.3">
      <c r="A263">
        <v>2015</v>
      </c>
      <c r="B263">
        <v>2</v>
      </c>
      <c r="C263" s="1">
        <f>DATE(Table2[[#This Row],[Year]],(Table2[[#This Row],[Quarter]]-1)*3+2,15)</f>
        <v>42139</v>
      </c>
      <c r="D263">
        <f>Table2[[#This Row],[Year]]+1/8+(Table2[[#This Row],[Quarter]]-1)/4</f>
        <v>2015.375</v>
      </c>
      <c r="E263">
        <f>Table2[[#This Row],[DecDate]]^2</f>
        <v>4061736.390625</v>
      </c>
      <c r="F263">
        <v>1336</v>
      </c>
      <c r="G263">
        <f>LN(Table2[[#This Row],[Expenditure]])</f>
        <v>7.1974353540965907</v>
      </c>
      <c r="H263">
        <f>$W$18+$W$19*Table2[[#This Row],[DecDate]]+$W$20*Table2[[#This Row],[DecDate2]]</f>
        <v>7.1673507877176235</v>
      </c>
      <c r="I263">
        <f>Table2[[#This Row],[Log Expenditure]]-Table2[[#This Row],[Quadratic Trend]]</f>
        <v>3.0084566378967281E-2</v>
      </c>
      <c r="J263">
        <f t="shared" si="4"/>
        <v>5.040042667664224E-3</v>
      </c>
    </row>
    <row r="264" spans="1:10" x14ac:dyDescent="0.3">
      <c r="A264">
        <v>2015</v>
      </c>
      <c r="B264">
        <v>3</v>
      </c>
      <c r="C264" s="1">
        <f>DATE(Table2[[#This Row],[Year]],(Table2[[#This Row],[Quarter]]-1)*3+2,15)</f>
        <v>42231</v>
      </c>
      <c r="D264">
        <f>Table2[[#This Row],[Year]]+1/8+(Table2[[#This Row],[Quarter]]-1)/4</f>
        <v>2015.625</v>
      </c>
      <c r="E264">
        <f>Table2[[#This Row],[DecDate]]^2</f>
        <v>4062744.140625</v>
      </c>
      <c r="F264">
        <v>1265</v>
      </c>
      <c r="G264">
        <f>LN(Table2[[#This Row],[Expenditure]])</f>
        <v>7.1428274011616208</v>
      </c>
      <c r="H264">
        <f>$W$18+$W$19*Table2[[#This Row],[DecDate]]+$W$20*Table2[[#This Row],[DecDate2]]</f>
        <v>7.1677776661503572</v>
      </c>
      <c r="I264">
        <f>Table2[[#This Row],[Log Expenditure]]-Table2[[#This Row],[Quadratic Trend]]</f>
        <v>-2.4950264988736315E-2</v>
      </c>
      <c r="J264">
        <f t="shared" si="4"/>
        <v>9.9549544878803076E-3</v>
      </c>
    </row>
    <row r="265" spans="1:10" x14ac:dyDescent="0.3">
      <c r="A265">
        <v>2015</v>
      </c>
      <c r="B265">
        <v>4</v>
      </c>
      <c r="C265" s="1">
        <f>DATE(Table2[[#This Row],[Year]],(Table2[[#This Row],[Quarter]]-1)*3+2,15)</f>
        <v>42323</v>
      </c>
      <c r="D265">
        <f>Table2[[#This Row],[Year]]+1/8+(Table2[[#This Row],[Quarter]]-1)/4</f>
        <v>2015.875</v>
      </c>
      <c r="E265">
        <f>Table2[[#This Row],[DecDate]]^2</f>
        <v>4063752.015625</v>
      </c>
      <c r="F265">
        <v>1293</v>
      </c>
      <c r="G265">
        <f>LN(Table2[[#This Row],[Expenditure]])</f>
        <v>7.1647203787718574</v>
      </c>
      <c r="H265">
        <f>$W$18+$W$19*Table2[[#This Row],[DecDate]]+$W$20*Table2[[#This Row],[DecDate2]]</f>
        <v>7.1681908285007125</v>
      </c>
      <c r="I265">
        <f>Table2[[#This Row],[Log Expenditure]]-Table2[[#This Row],[Quadratic Trend]]</f>
        <v>-3.4704497288551295E-3</v>
      </c>
      <c r="J265">
        <f t="shared" si="4"/>
        <v>1.1041049533019275E-2</v>
      </c>
    </row>
    <row r="266" spans="1:10" x14ac:dyDescent="0.3">
      <c r="A266">
        <v>2016</v>
      </c>
      <c r="B266">
        <v>1</v>
      </c>
      <c r="C266" s="1">
        <f>DATE(Table2[[#This Row],[Year]],(Table2[[#This Row],[Quarter]]-1)*3+2,15)</f>
        <v>42415</v>
      </c>
      <c r="D266">
        <f>Table2[[#This Row],[Year]]+1/8+(Table2[[#This Row],[Quarter]]-1)/4</f>
        <v>2016.125</v>
      </c>
      <c r="E266">
        <f>Table2[[#This Row],[DecDate]]^2</f>
        <v>4064760.015625</v>
      </c>
      <c r="F266">
        <v>1328</v>
      </c>
      <c r="G266">
        <f>LN(Table2[[#This Row],[Expenditure]])</f>
        <v>7.191429330036379</v>
      </c>
      <c r="H266">
        <f>$W$18+$W$19*Table2[[#This Row],[DecDate]]+$W$20*Table2[[#This Row],[DecDate2]]</f>
        <v>7.168590274768917</v>
      </c>
      <c r="I266">
        <f>Table2[[#This Row],[Log Expenditure]]-Table2[[#This Row],[Quadratic Trend]]</f>
        <v>2.2839055267461994E-2</v>
      </c>
      <c r="J266">
        <f t="shared" si="4"/>
        <v>-1.3897801024148394E-3</v>
      </c>
    </row>
    <row r="267" spans="1:10" x14ac:dyDescent="0.3">
      <c r="A267">
        <v>2016</v>
      </c>
      <c r="B267">
        <v>2</v>
      </c>
      <c r="C267" s="1">
        <f>DATE(Table2[[#This Row],[Year]],(Table2[[#This Row],[Quarter]]-1)*3+2,15)</f>
        <v>42505</v>
      </c>
      <c r="D267">
        <f>Table2[[#This Row],[Year]]+1/8+(Table2[[#This Row],[Quarter]]-1)/4</f>
        <v>2016.375</v>
      </c>
      <c r="E267">
        <f>Table2[[#This Row],[DecDate]]^2</f>
        <v>4065768.140625</v>
      </c>
      <c r="F267">
        <v>1339</v>
      </c>
      <c r="G267">
        <f>LN(Table2[[#This Row],[Expenditure]])</f>
        <v>7.1996783456911722</v>
      </c>
      <c r="H267">
        <f>$W$18+$W$19*Table2[[#This Row],[DecDate]]+$W$20*Table2[[#This Row],[DecDate2]]</f>
        <v>7.1689760049549136</v>
      </c>
      <c r="I267">
        <f>Table2[[#This Row],[Log Expenditure]]-Table2[[#This Row],[Quadratic Trend]]</f>
        <v>3.0702340736258549E-2</v>
      </c>
      <c r="J267">
        <f t="shared" si="4"/>
        <v>2.9122043060487712E-3</v>
      </c>
    </row>
    <row r="268" spans="1:10" x14ac:dyDescent="0.3">
      <c r="A268">
        <v>2016</v>
      </c>
      <c r="B268">
        <v>3</v>
      </c>
      <c r="C268" s="1">
        <f>DATE(Table2[[#This Row],[Year]],(Table2[[#This Row],[Quarter]]-1)*3+2,15)</f>
        <v>42597</v>
      </c>
      <c r="D268">
        <f>Table2[[#This Row],[Year]]+1/8+(Table2[[#This Row],[Quarter]]-1)/4</f>
        <v>2016.625</v>
      </c>
      <c r="E268">
        <f>Table2[[#This Row],[DecDate]]^2</f>
        <v>4066776.390625</v>
      </c>
      <c r="F268">
        <v>1258</v>
      </c>
      <c r="G268">
        <f>LN(Table2[[#This Row],[Expenditure]])</f>
        <v>7.1372784372603855</v>
      </c>
      <c r="H268">
        <f>$W$18+$W$19*Table2[[#This Row],[DecDate]]+$W$20*Table2[[#This Row],[DecDate2]]</f>
        <v>7.1693480190585888</v>
      </c>
      <c r="I268">
        <f>Table2[[#This Row],[Log Expenditure]]-Table2[[#This Row],[Quadratic Trend]]</f>
        <v>-3.2069581798203295E-2</v>
      </c>
      <c r="J268">
        <f t="shared" si="4"/>
        <v>8.0325261905944238E-3</v>
      </c>
    </row>
    <row r="269" spans="1:10" x14ac:dyDescent="0.3">
      <c r="A269">
        <v>2016</v>
      </c>
      <c r="B269">
        <v>4</v>
      </c>
      <c r="C269" s="1">
        <f>DATE(Table2[[#This Row],[Year]],(Table2[[#This Row],[Quarter]]-1)*3+2,15)</f>
        <v>42689</v>
      </c>
      <c r="D269">
        <f>Table2[[#This Row],[Year]]+1/8+(Table2[[#This Row],[Quarter]]-1)/4</f>
        <v>2016.875</v>
      </c>
      <c r="E269">
        <f>Table2[[#This Row],[DecDate]]^2</f>
        <v>4067784.765625</v>
      </c>
      <c r="F269">
        <v>1295</v>
      </c>
      <c r="G269">
        <f>LN(Table2[[#This Row],[Expenditure]])</f>
        <v>7.1662659741336379</v>
      </c>
      <c r="H269">
        <f>$W$18+$W$19*Table2[[#This Row],[DecDate]]+$W$20*Table2[[#This Row],[DecDate2]]</f>
        <v>7.1697063170800561</v>
      </c>
      <c r="I269">
        <f>Table2[[#This Row],[Log Expenditure]]-Table2[[#This Row],[Quadratic Trend]]</f>
        <v>-3.4403429464182622E-3</v>
      </c>
      <c r="J269">
        <f t="shared" si="4"/>
        <v>1.0366864202763181E-2</v>
      </c>
    </row>
    <row r="270" spans="1:10" x14ac:dyDescent="0.3">
      <c r="A270">
        <v>2017</v>
      </c>
      <c r="B270">
        <v>1</v>
      </c>
      <c r="C270" s="1">
        <f>DATE(Table2[[#This Row],[Year]],(Table2[[#This Row],[Quarter]]-1)*3+2,15)</f>
        <v>42781</v>
      </c>
      <c r="D270">
        <f>Table2[[#This Row],[Year]]+1/8+(Table2[[#This Row],[Quarter]]-1)/4</f>
        <v>2017.125</v>
      </c>
      <c r="E270">
        <f>Table2[[#This Row],[DecDate]]^2</f>
        <v>4068793.265625</v>
      </c>
      <c r="F270">
        <v>1329</v>
      </c>
      <c r="G270">
        <f>LN(Table2[[#This Row],[Expenditure]])</f>
        <v>7.1921820587132457</v>
      </c>
      <c r="H270">
        <f>$W$18+$W$19*Table2[[#This Row],[DecDate]]+$W$20*Table2[[#This Row],[DecDate2]]</f>
        <v>7.1700508990193725</v>
      </c>
      <c r="I270">
        <f>Table2[[#This Row],[Log Expenditure]]-Table2[[#This Row],[Quadratic Trend]]</f>
        <v>2.2131159693873137E-2</v>
      </c>
      <c r="J270">
        <f t="shared" si="4"/>
        <v>-8.7067163226706157E-5</v>
      </c>
    </row>
    <row r="271" spans="1:10" x14ac:dyDescent="0.3">
      <c r="A271">
        <v>2017</v>
      </c>
      <c r="B271">
        <v>2</v>
      </c>
      <c r="C271" s="1">
        <f>DATE(Table2[[#This Row],[Year]],(Table2[[#This Row],[Quarter]]-1)*3+2,15)</f>
        <v>42870</v>
      </c>
      <c r="D271">
        <f>Table2[[#This Row],[Year]]+1/8+(Table2[[#This Row],[Quarter]]-1)/4</f>
        <v>2017.375</v>
      </c>
      <c r="E271">
        <f>Table2[[#This Row],[DecDate]]^2</f>
        <v>4069801.890625</v>
      </c>
      <c r="F271">
        <v>1346</v>
      </c>
      <c r="G271">
        <f>LN(Table2[[#This Row],[Expenditure]])</f>
        <v>7.2048925102046733</v>
      </c>
      <c r="H271">
        <f>$W$18+$W$19*Table2[[#This Row],[DecDate]]+$W$20*Table2[[#This Row],[DecDate2]]</f>
        <v>7.1703817648763675</v>
      </c>
      <c r="I271">
        <f>Table2[[#This Row],[Log Expenditure]]-Table2[[#This Row],[Quadratic Trend]]</f>
        <v>3.4510745328305781E-2</v>
      </c>
      <c r="J271">
        <f t="shared" si="4"/>
        <v>7.9879734284967092E-3</v>
      </c>
    </row>
    <row r="272" spans="1:10" x14ac:dyDescent="0.3">
      <c r="A272">
        <v>2017</v>
      </c>
      <c r="B272">
        <v>3</v>
      </c>
      <c r="C272" s="1">
        <f>DATE(Table2[[#This Row],[Year]],(Table2[[#This Row],[Quarter]]-1)*3+2,15)</f>
        <v>42962</v>
      </c>
      <c r="D272">
        <f>Table2[[#This Row],[Year]]+1/8+(Table2[[#This Row],[Quarter]]-1)/4</f>
        <v>2017.625</v>
      </c>
      <c r="E272">
        <f>Table2[[#This Row],[DecDate]]^2</f>
        <v>4070810.640625</v>
      </c>
      <c r="F272">
        <v>1273</v>
      </c>
      <c r="G272">
        <f>LN(Table2[[#This Row],[Expenditure]])</f>
        <v>7.1491315985574069</v>
      </c>
      <c r="H272">
        <f>$W$18+$W$19*Table2[[#This Row],[DecDate]]+$W$20*Table2[[#This Row],[DecDate2]]</f>
        <v>7.1706989146510978</v>
      </c>
      <c r="I272">
        <f>Table2[[#This Row],[Log Expenditure]]-Table2[[#This Row],[Quadratic Trend]]</f>
        <v>-2.1567316093690891E-2</v>
      </c>
      <c r="J272">
        <f t="shared" si="4"/>
        <v>1.5247487234181279E-2</v>
      </c>
    </row>
    <row r="273" spans="1:10" x14ac:dyDescent="0.3">
      <c r="A273">
        <v>2017</v>
      </c>
      <c r="B273">
        <v>4</v>
      </c>
      <c r="C273" s="1">
        <f>DATE(Table2[[#This Row],[Year]],(Table2[[#This Row],[Quarter]]-1)*3+2,15)</f>
        <v>43054</v>
      </c>
      <c r="D273">
        <f>Table2[[#This Row],[Year]]+1/8+(Table2[[#This Row],[Quarter]]-1)/4</f>
        <v>2017.875</v>
      </c>
      <c r="E273">
        <f>Table2[[#This Row],[DecDate]]^2</f>
        <v>4071819.515625</v>
      </c>
      <c r="F273">
        <v>1312</v>
      </c>
      <c r="G273">
        <f>LN(Table2[[#This Row],[Expenditure]])</f>
        <v>7.179307969504034</v>
      </c>
      <c r="H273">
        <f>$W$18+$W$19*Table2[[#This Row],[DecDate]]+$W$20*Table2[[#This Row],[DecDate2]]</f>
        <v>7.1710023483436203</v>
      </c>
      <c r="I273">
        <f>Table2[[#This Row],[Log Expenditure]]-Table2[[#This Row],[Quadratic Trend]]</f>
        <v>8.3056211604137786E-3</v>
      </c>
      <c r="J273">
        <f t="shared" si="4"/>
        <v>1.7634677081071005E-2</v>
      </c>
    </row>
    <row r="274" spans="1:10" x14ac:dyDescent="0.3">
      <c r="A274">
        <v>2018</v>
      </c>
      <c r="B274">
        <v>1</v>
      </c>
      <c r="C274" s="1">
        <f>DATE(Table2[[#This Row],[Year]],(Table2[[#This Row],[Quarter]]-1)*3+2,15)</f>
        <v>43146</v>
      </c>
      <c r="D274">
        <f>Table2[[#This Row],[Year]]+1/8+(Table2[[#This Row],[Quarter]]-1)/4</f>
        <v>2018.125</v>
      </c>
      <c r="E274">
        <f>Table2[[#This Row],[DecDate]]^2</f>
        <v>4072828.515625</v>
      </c>
      <c r="F274">
        <v>1345</v>
      </c>
      <c r="G274">
        <f>LN(Table2[[#This Row],[Expenditure]])</f>
        <v>7.2041492920359396</v>
      </c>
      <c r="H274">
        <f>$W$18+$W$19*Table2[[#This Row],[DecDate]]+$W$20*Table2[[#This Row],[DecDate2]]</f>
        <v>7.171292065953935</v>
      </c>
      <c r="I274">
        <f>Table2[[#This Row],[Log Expenditure]]-Table2[[#This Row],[Quadratic Trend]]</f>
        <v>3.2857226082004587E-2</v>
      </c>
      <c r="J274">
        <f t="shared" si="4"/>
        <v>6.8202286363636235E-3</v>
      </c>
    </row>
    <row r="275" spans="1:10" x14ac:dyDescent="0.3">
      <c r="A275">
        <v>2018</v>
      </c>
      <c r="B275">
        <v>2</v>
      </c>
      <c r="C275" s="1">
        <f>DATE(Table2[[#This Row],[Year]],(Table2[[#This Row],[Quarter]]-1)*3+2,15)</f>
        <v>43235</v>
      </c>
      <c r="D275">
        <f>Table2[[#This Row],[Year]]+1/8+(Table2[[#This Row],[Quarter]]-1)/4</f>
        <v>2018.375</v>
      </c>
      <c r="E275">
        <f>Table2[[#This Row],[DecDate]]^2</f>
        <v>4073837.640625</v>
      </c>
      <c r="F275">
        <v>1347</v>
      </c>
      <c r="G275">
        <f>LN(Table2[[#This Row],[Expenditure]])</f>
        <v>7.2056351764103637</v>
      </c>
      <c r="H275">
        <f>$W$18+$W$19*Table2[[#This Row],[DecDate]]+$W$20*Table2[[#This Row],[DecDate2]]</f>
        <v>7.1715680674820419</v>
      </c>
      <c r="I275">
        <f>Table2[[#This Row],[Log Expenditure]]-Table2[[#This Row],[Quadratic Trend]]</f>
        <v>3.4067108928321765E-2</v>
      </c>
      <c r="J275">
        <f t="shared" si="4"/>
        <v>1.1968813800261024E-2</v>
      </c>
    </row>
    <row r="276" spans="1:10" x14ac:dyDescent="0.3">
      <c r="A276">
        <v>2018</v>
      </c>
      <c r="B276">
        <v>3</v>
      </c>
      <c r="C276" s="1">
        <f>DATE(Table2[[#This Row],[Year]],(Table2[[#This Row],[Quarter]]-1)*3+2,15)</f>
        <v>43327</v>
      </c>
      <c r="D276">
        <f>Table2[[#This Row],[Year]]+1/8+(Table2[[#This Row],[Quarter]]-1)/4</f>
        <v>2018.625</v>
      </c>
      <c r="E276">
        <f>Table2[[#This Row],[DecDate]]^2</f>
        <v>4074846.890625</v>
      </c>
      <c r="F276">
        <v>1277</v>
      </c>
      <c r="G276">
        <f>LN(Table2[[#This Row],[Expenditure]])</f>
        <v>7.1522688560325394</v>
      </c>
      <c r="H276">
        <f>$W$18+$W$19*Table2[[#This Row],[DecDate]]+$W$20*Table2[[#This Row],[DecDate2]]</f>
        <v>7.1718303529277705</v>
      </c>
      <c r="I276">
        <f>Table2[[#This Row],[Log Expenditure]]-Table2[[#This Row],[Quadratic Trend]]</f>
        <v>-1.9561496895231123E-2</v>
      </c>
      <c r="J276">
        <f t="shared" si="4"/>
        <v>1.5332005272952819E-2</v>
      </c>
    </row>
    <row r="277" spans="1:10" x14ac:dyDescent="0.3">
      <c r="A277">
        <v>2018</v>
      </c>
      <c r="B277">
        <v>4</v>
      </c>
      <c r="C277" s="1">
        <f>DATE(Table2[[#This Row],[Year]],(Table2[[#This Row],[Quarter]]-1)*3+2,15)</f>
        <v>43419</v>
      </c>
      <c r="D277">
        <f>Table2[[#This Row],[Year]]+1/8+(Table2[[#This Row],[Quarter]]-1)/4</f>
        <v>2018.875</v>
      </c>
      <c r="E277">
        <f>Table2[[#This Row],[DecDate]]^2</f>
        <v>4075856.265625</v>
      </c>
      <c r="F277">
        <v>1308</v>
      </c>
      <c r="G277">
        <f>LN(Table2[[#This Row],[Expenditure]])</f>
        <v>7.1762545320171442</v>
      </c>
      <c r="H277">
        <f>$W$18+$W$19*Table2[[#This Row],[DecDate]]+$W$20*Table2[[#This Row],[DecDate2]]</f>
        <v>7.1720789222913481</v>
      </c>
      <c r="I277">
        <f>Table2[[#This Row],[Log Expenditure]]-Table2[[#This Row],[Quadratic Trend]]</f>
        <v>4.1756097257961144E-3</v>
      </c>
      <c r="J277">
        <f t="shared" si="4"/>
        <v>1.4785816806834795E-2</v>
      </c>
    </row>
    <row r="278" spans="1:10" x14ac:dyDescent="0.3">
      <c r="A278">
        <v>2019</v>
      </c>
      <c r="B278">
        <v>1</v>
      </c>
      <c r="C278" s="1">
        <f>DATE(Table2[[#This Row],[Year]],(Table2[[#This Row],[Quarter]]-1)*3+2,15)</f>
        <v>43511</v>
      </c>
      <c r="D278">
        <f>Table2[[#This Row],[Year]]+1/8+(Table2[[#This Row],[Quarter]]-1)/4</f>
        <v>2019.125</v>
      </c>
      <c r="E278">
        <f>Table2[[#This Row],[DecDate]]^2</f>
        <v>4076865.765625</v>
      </c>
      <c r="F278">
        <v>1336</v>
      </c>
      <c r="G278">
        <f>LN(Table2[[#This Row],[Expenditure]])</f>
        <v>7.1974353540965907</v>
      </c>
      <c r="H278">
        <f>$W$18+$W$19*Table2[[#This Row],[DecDate]]+$W$20*Table2[[#This Row],[DecDate2]]</f>
        <v>7.172313775572718</v>
      </c>
      <c r="I278">
        <f>Table2[[#This Row],[Log Expenditure]]-Table2[[#This Row],[Quadratic Trend]]</f>
        <v>2.5121578523872756E-2</v>
      </c>
      <c r="J278">
        <f t="shared" si="4"/>
        <v>4.5031886227958392E-3</v>
      </c>
    </row>
    <row r="279" spans="1:10" x14ac:dyDescent="0.3">
      <c r="A279">
        <v>2019</v>
      </c>
      <c r="B279">
        <v>2</v>
      </c>
      <c r="C279" s="1">
        <f>DATE(Table2[[#This Row],[Year]],(Table2[[#This Row],[Quarter]]-1)*3+2,15)</f>
        <v>43600</v>
      </c>
      <c r="D279">
        <f>Table2[[#This Row],[Year]]+1/8+(Table2[[#This Row],[Quarter]]-1)/4</f>
        <v>2019.375</v>
      </c>
      <c r="E279">
        <f>Table2[[#This Row],[DecDate]]^2</f>
        <v>4077875.390625</v>
      </c>
      <c r="F279">
        <v>1343</v>
      </c>
      <c r="G279">
        <f>LN(Table2[[#This Row],[Expenditure]])</f>
        <v>7.2026611965232377</v>
      </c>
      <c r="H279">
        <f>$W$18+$W$19*Table2[[#This Row],[DecDate]]+$W$20*Table2[[#This Row],[DecDate2]]</f>
        <v>7.1725349127718232</v>
      </c>
      <c r="I279">
        <f>Table2[[#This Row],[Log Expenditure]]-Table2[[#This Row],[Quadratic Trend]]</f>
        <v>3.0126283751414462E-2</v>
      </c>
      <c r="J279">
        <f t="shared" si="4"/>
        <v>1.0754110760657021E-2</v>
      </c>
    </row>
    <row r="280" spans="1:10" x14ac:dyDescent="0.3">
      <c r="A280">
        <v>2019</v>
      </c>
      <c r="B280">
        <v>3</v>
      </c>
      <c r="C280" s="1">
        <f>DATE(Table2[[#This Row],[Year]],(Table2[[#This Row],[Quarter]]-1)*3+2,15)</f>
        <v>43692</v>
      </c>
      <c r="D280">
        <f>Table2[[#This Row],[Year]]+1/8+(Table2[[#This Row],[Quarter]]-1)/4</f>
        <v>2019.625</v>
      </c>
      <c r="E280">
        <f>Table2[[#This Row],[DecDate]]^2</f>
        <v>4078885.140625</v>
      </c>
      <c r="F280">
        <v>1281</v>
      </c>
      <c r="G280">
        <f>LN(Table2[[#This Row],[Expenditure]])</f>
        <v>7.1553963018967339</v>
      </c>
      <c r="H280">
        <f>$W$18+$W$19*Table2[[#This Row],[DecDate]]+$W$20*Table2[[#This Row],[DecDate2]]</f>
        <v>7.1727423338886069</v>
      </c>
      <c r="I280">
        <f>Table2[[#This Row],[Log Expenditure]]-Table2[[#This Row],[Quadratic Trend]]</f>
        <v>-1.7346031991873012E-2</v>
      </c>
      <c r="J280">
        <f t="shared" si="4"/>
        <v>1.7902115207338733E-2</v>
      </c>
    </row>
    <row r="281" spans="1:10" x14ac:dyDescent="0.3">
      <c r="A281">
        <v>2019</v>
      </c>
      <c r="B281">
        <v>4</v>
      </c>
      <c r="C281" s="1">
        <f>DATE(Table2[[#This Row],[Year]],(Table2[[#This Row],[Quarter]]-1)*3+2,15)</f>
        <v>43784</v>
      </c>
      <c r="D281">
        <f>Table2[[#This Row],[Year]]+1/8+(Table2[[#This Row],[Quarter]]-1)/4</f>
        <v>2019.875</v>
      </c>
      <c r="E281">
        <f>Table2[[#This Row],[DecDate]]^2</f>
        <v>4079895.015625</v>
      </c>
      <c r="F281">
        <v>1319</v>
      </c>
      <c r="G281">
        <f>LN(Table2[[#This Row],[Expenditure]])</f>
        <v>7.1846291527173145</v>
      </c>
      <c r="H281">
        <f>$W$18+$W$19*Table2[[#This Row],[DecDate]]+$W$20*Table2[[#This Row],[DecDate2]]</f>
        <v>7.1729360389232397</v>
      </c>
      <c r="I281">
        <f>Table2[[#This Row],[Log Expenditure]]-Table2[[#This Row],[Quadratic Trend]]</f>
        <v>1.1693113794074783E-2</v>
      </c>
      <c r="J281">
        <f t="shared" si="4"/>
        <v>2.4478740218945028E-2</v>
      </c>
    </row>
    <row r="282" spans="1:10" x14ac:dyDescent="0.3">
      <c r="A282">
        <v>2020</v>
      </c>
      <c r="B282">
        <v>1</v>
      </c>
      <c r="C282" s="1">
        <f>DATE(Table2[[#This Row],[Year]],(Table2[[#This Row],[Quarter]]-1)*3+2,15)</f>
        <v>43876</v>
      </c>
      <c r="D282">
        <f>Table2[[#This Row],[Year]]+1/8+(Table2[[#This Row],[Quarter]]-1)/4</f>
        <v>2020.125</v>
      </c>
      <c r="E282">
        <f>Table2[[#This Row],[DecDate]]^2</f>
        <v>4080905.015625</v>
      </c>
      <c r="F282">
        <v>1357</v>
      </c>
      <c r="G282">
        <f>LN(Table2[[#This Row],[Expenditure]])</f>
        <v>7.2130316598348694</v>
      </c>
      <c r="H282">
        <f>$W$18+$W$19*Table2[[#This Row],[DecDate]]+$W$20*Table2[[#This Row],[DecDate2]]</f>
        <v>7.1731160278756647</v>
      </c>
      <c r="I282">
        <f>Table2[[#This Row],[Log Expenditure]]-Table2[[#This Row],[Quadratic Trend]]</f>
        <v>3.9915631959204667E-2</v>
      </c>
      <c r="J282">
        <f t="shared" si="4"/>
        <v>2.0540654974431229E-2</v>
      </c>
    </row>
    <row r="283" spans="1:10" x14ac:dyDescent="0.3">
      <c r="A283">
        <v>2020</v>
      </c>
      <c r="B283">
        <v>2</v>
      </c>
      <c r="C283" s="1">
        <f>DATE(Table2[[#This Row],[Year]],(Table2[[#This Row],[Quarter]]-1)*3+2,15)</f>
        <v>43966</v>
      </c>
      <c r="D283">
        <f>Table2[[#This Row],[Year]]+1/8+(Table2[[#This Row],[Quarter]]-1)/4</f>
        <v>2020.375</v>
      </c>
      <c r="E283">
        <f>Table2[[#This Row],[DecDate]]^2</f>
        <v>4081915.140625</v>
      </c>
      <c r="F283">
        <v>1382</v>
      </c>
      <c r="G283">
        <f>LN(Table2[[#This Row],[Expenditure]])</f>
        <v>7.2312870043276156</v>
      </c>
      <c r="H283">
        <f>$W$18+$W$19*Table2[[#This Row],[DecDate]]+$W$20*Table2[[#This Row],[DecDate2]]</f>
        <v>7.1732823007457114</v>
      </c>
      <c r="I283">
        <f>Table2[[#This Row],[Log Expenditure]]-Table2[[#This Row],[Quadratic Trend]]</f>
        <v>5.8004703581904238E-2</v>
      </c>
      <c r="J283">
        <f t="shared" si="4"/>
        <v>2.9380100313938229E-2</v>
      </c>
    </row>
    <row r="284" spans="1:10" x14ac:dyDescent="0.3">
      <c r="A284">
        <v>2020</v>
      </c>
      <c r="B284">
        <v>3</v>
      </c>
      <c r="C284" s="1">
        <f>DATE(Table2[[#This Row],[Year]],(Table2[[#This Row],[Quarter]]-1)*3+2,15)</f>
        <v>44058</v>
      </c>
      <c r="D284">
        <f>Table2[[#This Row],[Year]]+1/8+(Table2[[#This Row],[Quarter]]-1)/4</f>
        <v>2020.625</v>
      </c>
      <c r="E284">
        <f>Table2[[#This Row],[DecDate]]^2</f>
        <v>4082925.390625</v>
      </c>
      <c r="F284">
        <v>1318</v>
      </c>
      <c r="G284">
        <f>LN(Table2[[#This Row],[Expenditure]])</f>
        <v>7.1838707150624526</v>
      </c>
      <c r="H284">
        <f>$W$18+$W$19*Table2[[#This Row],[DecDate]]+$W$20*Table2[[#This Row],[DecDate2]]</f>
        <v>7.1734348575336071</v>
      </c>
      <c r="I284">
        <f>Table2[[#This Row],[Log Expenditure]]-Table2[[#This Row],[Quadratic Trend]]</f>
        <v>1.043585752884546E-2</v>
      </c>
    </row>
    <row r="285" spans="1:10" x14ac:dyDescent="0.3">
      <c r="A285">
        <v>2020</v>
      </c>
      <c r="B285">
        <v>4</v>
      </c>
      <c r="C285" s="1">
        <f>DATE(Table2[[#This Row],[Year]],(Table2[[#This Row],[Quarter]]-1)*3+2,15)</f>
        <v>44150</v>
      </c>
      <c r="D285">
        <f>Table2[[#This Row],[Year]]+1/8+(Table2[[#This Row],[Quarter]]-1)/4</f>
        <v>2020.875</v>
      </c>
      <c r="E285">
        <f>Table2[[#This Row],[DecDate]]^2</f>
        <v>4083935.765625</v>
      </c>
      <c r="F285">
        <v>1340</v>
      </c>
      <c r="G285">
        <f>LN(Table2[[#This Row],[Expenditure]])</f>
        <v>7.200424892944957</v>
      </c>
      <c r="H285">
        <f>$W$18+$W$19*Table2[[#This Row],[DecDate]]+$W$20*Table2[[#This Row],[DecDate2]]</f>
        <v>7.173573698239295</v>
      </c>
      <c r="I285">
        <f>Table2[[#This Row],[Log Expenditure]]-Table2[[#This Row],[Quadratic Trend]]</f>
        <v>2.6851194705661996E-2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47CFED3DA354182B52EA668E1B165" ma:contentTypeVersion="12" ma:contentTypeDescription="Create a new document." ma:contentTypeScope="" ma:versionID="12f7a4f1b676642a41d83178c65ffb8d">
  <xsd:schema xmlns:xsd="http://www.w3.org/2001/XMLSchema" xmlns:xs="http://www.w3.org/2001/XMLSchema" xmlns:p="http://schemas.microsoft.com/office/2006/metadata/properties" xmlns:ns3="ee74d9a5-7b36-4e70-9a31-c88fdbf23db9" xmlns:ns4="28baf139-7a61-462e-a937-4b87f08b7634" targetNamespace="http://schemas.microsoft.com/office/2006/metadata/properties" ma:root="true" ma:fieldsID="644873ab264a60ff57644a4e9f334bc2" ns3:_="" ns4:_="">
    <xsd:import namespace="ee74d9a5-7b36-4e70-9a31-c88fdbf23db9"/>
    <xsd:import namespace="28baf139-7a61-462e-a937-4b87f08b76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4d9a5-7b36-4e70-9a31-c88fdbf23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af139-7a61-462e-a937-4b87f08b763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4F6C05-311C-4B8E-B811-064633465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4d9a5-7b36-4e70-9a31-c88fdbf23db9"/>
    <ds:schemaRef ds:uri="28baf139-7a61-462e-a937-4b87f08b76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32BE27-C9F8-45E6-8FEF-69BCD91E1FF6}">
  <ds:schemaRefs>
    <ds:schemaRef ds:uri="http://purl.org/dc/dcmitype/"/>
    <ds:schemaRef ds:uri="http://schemas.microsoft.com/office/2006/metadata/properties"/>
    <ds:schemaRef ds:uri="28baf139-7a61-462e-a937-4b87f08b7634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e74d9a5-7b36-4e70-9a31-c88fdbf23db9"/>
  </ds:schemaRefs>
</ds:datastoreItem>
</file>

<file path=customXml/itemProps3.xml><?xml version="1.0" encoding="utf-8"?>
<ds:datastoreItem xmlns:ds="http://schemas.openxmlformats.org/officeDocument/2006/customXml" ds:itemID="{35E95D3B-1146-4DC7-B632-19E3604B5C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Data150</vt:lpstr>
      <vt:lpstr>Charts</vt:lpstr>
      <vt:lpstr>Data45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</dc:creator>
  <cp:lastModifiedBy>Michelle T</cp:lastModifiedBy>
  <dcterms:created xsi:type="dcterms:W3CDTF">2023-02-08T20:59:40Z</dcterms:created>
  <dcterms:modified xsi:type="dcterms:W3CDTF">2023-02-13T23:21:27Z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0x010100C7847CFED3DA354182B52EA668E1B165</vt:lpwstr>
  </property>
</Properties>
</file>